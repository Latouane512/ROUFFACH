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étail Modèle Hydrologique" sheetId="1" r:id="rId5"/>
    <sheet state="visible" name="Détail Calculs Excel (OCS)" sheetId="2" r:id="rId6"/>
    <sheet state="visible" name="Comparatif Synthétique" sheetId="3" r:id="rId7"/>
    <sheet state="visible" name="Analyse Sols SCS (B-C-D)" sheetId="4" r:id="rId8"/>
    <sheet state="visible" name="Analyse Pratique viticole" sheetId="5" r:id="rId9"/>
    <sheet state="visible" name="Analyse Fuite " sheetId="6" r:id="rId10"/>
    <sheet state="visible" name="Graphiques Mémoire" sheetId="7" r:id="rId11"/>
  </sheets>
  <definedNames/>
  <calcPr/>
</workbook>
</file>

<file path=xl/sharedStrings.xml><?xml version="1.0" encoding="utf-8"?>
<sst xmlns="http://schemas.openxmlformats.org/spreadsheetml/2006/main" count="616" uniqueCount="182">
  <si>
    <t>RÉSULTATS DÉTAILLÉS DU MODÈLE HYDROLOGIQUE</t>
  </si>
  <si>
    <t>DÉTAIL DES CALCULS EXCEL PAR TYPE D'OCCUPATION DU SOL (VERSION CORRIGÉE)</t>
  </si>
  <si>
    <t>TABLEAU COMPARATIF : MODÈLE HYDROLOGIQUE vs CALCULS EXCEL (VERSION CORRIGÉE)</t>
  </si>
  <si>
    <t>ANALYSE HYDROLOGIQUE PAR NATURE DU SOL (GROUPES SCS B, C, D)</t>
  </si>
  <si>
    <t>Dossiers sources : resultats_normal &amp; resultats_humide | Capacité de rétention du bassin : 1 500 m³</t>
  </si>
  <si>
    <t>Analyse comparative des volumes ruisselés (m³), coefficients de ruissellement corrigés et dimensionnement du bassin (1 500 m³)</t>
  </si>
  <si>
    <t>Caractérisation des sols, production spécifique au m² (m³/ha), bilan des contributions au bassin</t>
  </si>
  <si>
    <t>Matrices détaillées de ruissellement par sous-bassin (B, C, D) et coefficients de ruissellement corrigés (QP2 à QP100)</t>
  </si>
  <si>
    <t>SCÉNARIO : SOL NORMAL (Dossier: resultats_normal)</t>
  </si>
  <si>
    <t>SCÉNARIO 1 : SOL NORMAL</t>
  </si>
  <si>
    <t>SCÉNARIO : SOL NORMAL</t>
  </si>
  <si>
    <t>1. CARACTÉRISATION DES GROUPES HYDROLOGIQUES DE SOLS (GHS SCS)</t>
  </si>
  <si>
    <t>Période de retour</t>
  </si>
  <si>
    <t>Période</t>
  </si>
  <si>
    <t>SCÉNARIO : SOL HUMIDE</t>
  </si>
  <si>
    <t>Nature du Sol (GHS)</t>
  </si>
  <si>
    <t>QP2 (m³)</t>
  </si>
  <si>
    <t>Avec Infiltration (m³)</t>
  </si>
  <si>
    <t>Sans Infiltration (m³)</t>
  </si>
  <si>
    <t>Description pédologique &amp; hydrologique</t>
  </si>
  <si>
    <t>Calcul Excel (m³)</t>
  </si>
  <si>
    <t>Volume Infiltré (m³)</t>
  </si>
  <si>
    <t>Modèle Sans Infiltration (m³)</t>
  </si>
  <si>
    <t>Superficie (m²)</t>
  </si>
  <si>
    <t>Taux d'Infiltration (%)</t>
  </si>
  <si>
    <t>Superficie (ha)</t>
  </si>
  <si>
    <t>B</t>
  </si>
  <si>
    <t>Modèle Avec Infiltration (m³)</t>
  </si>
  <si>
    <t>Statut Bassin (1 500 m³)</t>
  </si>
  <si>
    <t>Écart Excel vs Modèle Brut (m³)</t>
  </si>
  <si>
    <t>Part du Bassin (%)</t>
  </si>
  <si>
    <t>C</t>
  </si>
  <si>
    <t>Marge / Débordement (m³)</t>
  </si>
  <si>
    <t>Écart Excel vs Modèle Brut (%)</t>
  </si>
  <si>
    <t>D</t>
  </si>
  <si>
    <t>Coeff. Ruiss. Corrigé (%)</t>
  </si>
  <si>
    <t>CN moyen pondéré (Normal)</t>
  </si>
  <si>
    <t>Volume Total (m³)</t>
  </si>
  <si>
    <t>T2</t>
  </si>
  <si>
    <t>S moyen Normal (mm)</t>
  </si>
  <si>
    <t>Ia Normal (mm)</t>
  </si>
  <si>
    <t>CN moyen pondéré (Humide)</t>
  </si>
  <si>
    <t>S moyen Humide (mm)</t>
  </si>
  <si>
    <t>Ia Humide (mm)</t>
  </si>
  <si>
    <t>Sol B</t>
  </si>
  <si>
    <t>Caillouteux</t>
  </si>
  <si>
    <t>Infiltration modérée (sols limoneux profonds)</t>
  </si>
  <si>
    <t>Foret</t>
  </si>
  <si>
    <t>Herbe</t>
  </si>
  <si>
    <t>Vignes</t>
  </si>
  <si>
    <t>Zones urbanisees</t>
  </si>
  <si>
    <t>Conforme</t>
  </si>
  <si>
    <t>T5</t>
  </si>
  <si>
    <t>T10</t>
  </si>
  <si>
    <t>Sol C</t>
  </si>
  <si>
    <t>QP5 (m³)</t>
  </si>
  <si>
    <t>Faible infiltration (sols argilo-limoneux)</t>
  </si>
  <si>
    <t>T20</t>
  </si>
  <si>
    <t>T50</t>
  </si>
  <si>
    <t>T100</t>
  </si>
  <si>
    <t>SCÉNARIO 2 : SOL HUMIDE</t>
  </si>
  <si>
    <t>Sol D</t>
  </si>
  <si>
    <t>Très faible perméabilité / lourd (argiles compactes)</t>
  </si>
  <si>
    <t>SCÉNARIO : SOL HUMIDE (Dossier: resultats_humide)</t>
  </si>
  <si>
    <t>QP10 (m³)</t>
  </si>
  <si>
    <t>TOTAL / MOYENNE</t>
  </si>
  <si>
    <t>Bassin Versant Global</t>
  </si>
  <si>
    <t>QP20 (m³)</t>
  </si>
  <si>
    <t>DÉBORDEMENT (+285.6 m³)</t>
  </si>
  <si>
    <t>DÉBORDEMENT (+1 091.7 m³)</t>
  </si>
  <si>
    <t>DÉBORDEMENT (+1 691.5 m³)</t>
  </si>
  <si>
    <t>SCÉNARIO COMPARATIF : IMPACT DE LA SATURATION DU SOL (SOL HUMIDE vs SOL NORMAL)</t>
  </si>
  <si>
    <t>Excel Sol Normal (m³)</t>
  </si>
  <si>
    <t>Excel Sol Humide (m³)</t>
  </si>
  <si>
    <t>Variation Volume Excel (%)</t>
  </si>
  <si>
    <t>CR Corrigé Normal (%)</t>
  </si>
  <si>
    <t>CR Corrigé Humide (%)</t>
  </si>
  <si>
    <t>Multiplicateur de Ruissellement</t>
  </si>
  <si>
    <t>2. VOLUMES RUISSÉLÉS ET CONTRIBUTION RELATIVE AU BASSIN (SCÉNARIO SOL HUMIDE)</t>
  </si>
  <si>
    <t>QP50 (m³)</t>
  </si>
  <si>
    <t>Part QP2 (%)</t>
  </si>
  <si>
    <t>Part QP5 (%)</t>
  </si>
  <si>
    <t>Part QP10 (%)</t>
  </si>
  <si>
    <t>Part QP20 (%)</t>
  </si>
  <si>
    <t>Part QP50 (%)</t>
  </si>
  <si>
    <t>QP100 (m³)</t>
  </si>
  <si>
    <t>Part QP100 (%)</t>
  </si>
  <si>
    <t>SYNTHÈSE DU RUISSELLEMENT PAR OCCUPATION DU SOL (OCS) DU PAS DE TEMPS QP2 À QP100</t>
  </si>
  <si>
    <t>Volumes totaux ruisselés (m³) par type de surface (somme des sous-bassins B, C et D) pour chaque période</t>
  </si>
  <si>
    <t>1. SYNTHÈSE SCÉNARIO SOL HUMIDE (Dimensionnant)</t>
  </si>
  <si>
    <t>Type d'OCS</t>
  </si>
  <si>
    <t>Total Cumulé (m³)</t>
  </si>
  <si>
    <t>Part du Ruissellement</t>
  </si>
  <si>
    <t>TOTAL BASSIN</t>
  </si>
  <si>
    <t>100.0%</t>
  </si>
  <si>
    <t>TOTAL TOUTES SURFACES</t>
  </si>
  <si>
    <t>3. RUISSELLEMENT SPÉCIFIQUE PAR HECTARE (m³/ha) - VULNÉRABILITÉ COMPARÉE</t>
  </si>
  <si>
    <t>QP2 (m³/ha)</t>
  </si>
  <si>
    <t>QP5 (m³/ha)</t>
  </si>
  <si>
    <t>QP10 (m³/ha)</t>
  </si>
  <si>
    <t>QP20 (m³/ha)</t>
  </si>
  <si>
    <t>QP50 (m³/ha)</t>
  </si>
  <si>
    <t>QP100 (m³/ha)</t>
  </si>
  <si>
    <t>Ratio de Vulnérabilité (vs Sol B à QP100)</t>
  </si>
  <si>
    <t>2. SYNTHÈSE SCÉNARIO SOL NORMAL</t>
  </si>
  <si>
    <t>ANALYSE HYDROLOGIQUE PAR PRATIQUES VITICOLE</t>
  </si>
  <si>
    <t>Analyse des pratiques viticole</t>
  </si>
  <si>
    <t>1. IMPACT DES PRATIQUES DE GESTION DU SOL DANS LES VIGNES (EDS_2) PAR CLASSE DE SOL</t>
  </si>
  <si>
    <t>MOYENNE BASSIN</t>
  </si>
  <si>
    <t>Pratique Viticole (Mode de conduite)</t>
  </si>
  <si>
    <t>Sol B (m²)</t>
  </si>
  <si>
    <t>Sol C (m²)</t>
  </si>
  <si>
    <t>Sol D (m²)</t>
  </si>
  <si>
    <t>Total Général (m²)</t>
  </si>
  <si>
    <t>Total Général (ha)</t>
  </si>
  <si>
    <t>Part du Vignoble (%)</t>
  </si>
  <si>
    <t>CN AMC-III (Sol B / C / D) (Référence)</t>
  </si>
  <si>
    <t xml:space="preserve">CN AMC-III (Sol B / C / D) Modifier </t>
  </si>
  <si>
    <t>Vignes en sol nu / Travail du sol ('0')</t>
  </si>
  <si>
    <t>78 - 84 - 88</t>
  </si>
  <si>
    <t>82 - 88 - 92</t>
  </si>
  <si>
    <t>Vignes enherbées 1 rang sur 2 ('1/2')</t>
  </si>
  <si>
    <t>Vignes enherbées intégrales ('1/1')</t>
  </si>
  <si>
    <t>70 - 76 - 80</t>
  </si>
  <si>
    <t>TOTAL VIGNOBLE</t>
  </si>
  <si>
    <t>-</t>
  </si>
  <si>
    <t>ANALYSE DE SENSIBILITÉ : IMPACT DE L'INFILTRATION ET CAPACITÉ DU BASSIN (1 500 m³)</t>
  </si>
  <si>
    <t>1. MODÈLE (FORTAN) - SANS Infiltration - SOL NORMAL</t>
  </si>
  <si>
    <t>Volume Entrant (m³)</t>
  </si>
  <si>
    <t>Vol. évacué à 1 L/s/ha (m³)</t>
  </si>
  <si>
    <t>Volume à stocker à 1 L/s/ha (m³)</t>
  </si>
  <si>
    <t>Statut Bassin 1 L/s/ha (1 500 m³)</t>
  </si>
  <si>
    <t>Vol. évacué à 3 L/s/ha (m³)</t>
  </si>
  <si>
    <t>Volume à stocker à 3 L/s/ha (m³)</t>
  </si>
  <si>
    <t>Statut Bassin 3 L/s/ha (1 500 m³)</t>
  </si>
  <si>
    <t xml:space="preserve">Hectar du bassin versant : </t>
  </si>
  <si>
    <t xml:space="preserve">Calcul du débit continue de l'ouvrage </t>
  </si>
  <si>
    <t xml:space="preserve">1 L/s/ha : </t>
  </si>
  <si>
    <t xml:space="preserve">3L /s/ ha : </t>
  </si>
  <si>
    <t>2. MODÈLE (FORTAN) - AVEC Infiltration - SOL NORMAL</t>
  </si>
  <si>
    <t xml:space="preserve">Conversion mètres cubes par seconde : </t>
  </si>
  <si>
    <t>3. MODÈLE (FORTAN) - SANS Infiltration - SOL HUMIDE</t>
  </si>
  <si>
    <t>Débordement</t>
  </si>
  <si>
    <t>4. MODÈLE (FORTAN) - AVEC Infiltration - SOL HUMIDE</t>
  </si>
  <si>
    <t>5. CALCUL EXCEL - SOL NORMAL (Méthode sans infiltration)</t>
  </si>
  <si>
    <t>6. CALCUL EXCEL - SOL HUMIDE (Méthode sans infiltration)</t>
  </si>
  <si>
    <t>1. COMPARATIF CALCULS EXCEL vs MODÈLE FORTRAN (m³)</t>
  </si>
  <si>
    <t>2. RISQUE DE DÉBORDEMENT DU BASSIN (CAPACITÉ 1 500 m³) Modèle FORTRAN</t>
  </si>
  <si>
    <t>Excel AMC-II (m³)</t>
  </si>
  <si>
    <t>Fortran AMC-II (m³)</t>
  </si>
  <si>
    <t>Excel AMC-III (m³)</t>
  </si>
  <si>
    <t>Fortran AMC-III (m³)</t>
  </si>
  <si>
    <t>Volume de ruissellement AMC-II (m³)</t>
  </si>
  <si>
    <t>Volume de ruissellement  AMC-III (m³)</t>
  </si>
  <si>
    <t>Capacité Bassin (m³)</t>
  </si>
  <si>
    <t>4. COMPARAISON DÉBIT DE FUITE : VOLUMES À STOCKER (m³) (Fortran avec infiltration)</t>
  </si>
  <si>
    <t>AMC-II - 1 L/s/ha (m³)</t>
  </si>
  <si>
    <t>AMC-II - 3 L/s/ha (m³)</t>
  </si>
  <si>
    <t>AMC-III - 1 L/s/ha (m³)</t>
  </si>
  <si>
    <t>AMC-III - 3 L/s/ha (m³)</t>
  </si>
  <si>
    <t>3. LEVIER DE L'ENHERBEMENT VITICOLE (SOLUTIONS FONDÉES SUR LA NATURE - QP10)</t>
  </si>
  <si>
    <t>Mode de Conduite Viticole</t>
  </si>
  <si>
    <t>QP10 CN Référence (m³)</t>
  </si>
  <si>
    <t>QP10 CN Modifier (m³)</t>
  </si>
  <si>
    <t>Variation Ruissellement (%)</t>
  </si>
  <si>
    <t>5. COMPARAISON DÉBIT DE FUITE : VOLUMES À STOCKER (m³) (Fortran sans infiltration)</t>
  </si>
  <si>
    <t>2.5. RISQUE DE DÉBORDEMENT DU BASSIN (CAPACITÉ 1 500 m³) Calcul Excel</t>
  </si>
  <si>
    <t>6. COMPARAISON DÉBIT DE FUITE : VOLUMES À STOCKER (m³) (Excel)</t>
  </si>
  <si>
    <t>7. ANALYSE DE VULNERABILITE PAR L'OCS</t>
  </si>
  <si>
    <t>Total Cumulé</t>
  </si>
  <si>
    <t>Part (%)</t>
  </si>
  <si>
    <t>1 083,5 m³</t>
  </si>
  <si>
    <t>9,9 %</t>
  </si>
  <si>
    <t>Forêt</t>
  </si>
  <si>
    <t>0,1 m³</t>
  </si>
  <si>
    <t>0,0 %</t>
  </si>
  <si>
    <t>9,3 m³</t>
  </si>
  <si>
    <t>0,1 %</t>
  </si>
  <si>
    <t>0.815</t>
  </si>
  <si>
    <t>Zones urbanisées</t>
  </si>
  <si>
    <t>0.085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</si>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</sst>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,##0.0"/>
    <numFmt numFmtId="165" formatCode="\+#,##0.0;\-#,##0.0;0.0"/>
    <numFmt numFmtId="166" formatCode="0.0%"/>
    <numFmt numFmtId="167" formatCode="\+0.0%;\-0.0%;0.0%"/>
    <numFmt numFmtId="168" formatCode="0.0"/>
    <numFmt numFmtId="169" formatCode="\+#,##0.0"/>
    <numFmt numFmtId="170" formatCode="\100.0%"/>
    <numFmt numFmtId="171" formatCode="\+0.0%"/>
    <numFmt numFmtId="172" formatCode="0.0\ &quot;x&quot;"/>
    <numFmt numFmtId="173" formatCode="+0.0%;-0.0%;0.0%"/>
  </numFmts>
  <fonts count="35">
    <font>
      <sz val="11.0"/>
      <color theme="1"/>
      <name val="Calibri"/>
      <scheme val="minor"/>
    </font>
    <font>
      <b/>
      <sz val="15.0"/>
      <color rgb="FF1F4E79"/>
      <name val="Calibri"/>
    </font>
    <font>
      <i/>
      <sz val="10.0"/>
      <color rgb="FF595959"/>
      <name val="Calibri"/>
    </font>
    <font>
      <b/>
      <sz val="12.0"/>
      <color rgb="FF1F4E79"/>
      <name val="Calibri"/>
    </font>
    <font>
      <b/>
      <sz val="13.0"/>
      <color rgb="FF1F4E79"/>
      <name val="Calibri"/>
    </font>
    <font>
      <b/>
      <sz val="13.0"/>
      <color rgb="FFC00000"/>
      <name val="Calibri"/>
    </font>
    <font>
      <b/>
      <sz val="10.0"/>
      <color rgb="FFFFFFFF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b/>
      <sz val="10.0"/>
      <color rgb="FF274E13"/>
      <name val="Calibri"/>
    </font>
    <font>
      <b/>
      <sz val="10.0"/>
      <color rgb="FFC00000"/>
      <name val="Calibri"/>
    </font>
    <font>
      <b/>
      <sz val="12.0"/>
      <color rgb="FFC00000"/>
      <name val="Calibri"/>
    </font>
    <font>
      <b/>
      <sz val="11.0"/>
      <color rgb="FFC00000"/>
      <name val="Calibri"/>
    </font>
    <font>
      <b/>
      <sz val="11.0"/>
      <color rgb="FF1F4E79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sz val="14.0"/>
      <color rgb="FFFFFFFF"/>
      <name val="Calibri"/>
    </font>
    <font/>
    <font>
      <b/>
      <sz val="12.0"/>
      <color rgb="FF0070C0"/>
      <name val="Calibri"/>
    </font>
    <font>
      <b/>
      <sz val="12.0"/>
      <color theme="1"/>
      <name val="Calibri"/>
    </font>
    <font>
      <b/>
      <sz val="11.0"/>
      <color rgb="FF006100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b/>
      <sz val="12.0"/>
      <color rgb="FF00B050"/>
      <name val="Calibri"/>
    </font>
    <font>
      <b/>
      <sz val="11.0"/>
      <color rgb="FF9C0006"/>
      <name val="Calibri"/>
    </font>
    <font>
      <b/>
      <sz val="12.0"/>
      <color rgb="FFFFC000"/>
      <name val="Calibri"/>
    </font>
    <font>
      <b/>
      <sz val="12.0"/>
      <color rgb="FF7F7F7F"/>
      <name val="Calibri"/>
    </font>
    <font>
      <b/>
      <sz val="12.0"/>
      <color rgb="FF3B3838"/>
      <name val="Calibri"/>
    </font>
    <font>
      <b/>
      <sz val="10.0"/>
      <color theme="1"/>
      <name val="Roboto"/>
    </font>
    <font>
      <sz val="10.0"/>
      <color theme="1"/>
      <name val="Roboto"/>
    </font>
    <font>
      <color theme="1"/>
      <name val="Calibri"/>
    </font>
    <font>
      <b/>
      <sz val="11.0"/>
      <color rgb="FF000000"/>
      <name val="Calibri"/>
    </font>
    <font>
      <sz val="11.0"/>
      <color rgb="FF000000"/>
      <name val="Cambria"/>
    </font>
    <font>
      <b/>
      <sz val="11.0"/>
      <color rgb="FF000000"/>
      <name val="Cambria"/>
    </font>
  </fonts>
  <fills count="1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9FAFB"/>
        <bgColor rgb="FFF9FAFB"/>
      </patternFill>
    </fill>
    <fill>
      <patternFill patternType="solid">
        <fgColor rgb="FFA9D08E"/>
        <bgColor rgb="FFA9D08E"/>
      </patternFill>
    </fill>
    <fill>
      <patternFill patternType="solid">
        <fgColor rgb="FFF8CBAD"/>
        <bgColor rgb="FFF8CBAD"/>
      </patternFill>
    </fill>
    <fill>
      <patternFill patternType="solid">
        <fgColor rgb="FFFFF2CC"/>
        <bgColor rgb="FFFFF2CC"/>
      </patternFill>
    </fill>
    <fill>
      <patternFill patternType="solid">
        <fgColor rgb="FFEAEEF7"/>
        <bgColor rgb="FFEAEEF7"/>
      </patternFill>
    </fill>
    <fill>
      <patternFill patternType="solid">
        <fgColor rgb="FF41719C"/>
        <bgColor rgb="FF41719C"/>
      </patternFill>
    </fill>
    <fill>
      <patternFill patternType="solid">
        <fgColor rgb="FFC00000"/>
        <bgColor rgb="FFC00000"/>
      </patternFill>
    </fill>
    <fill>
      <patternFill patternType="solid">
        <fgColor rgb="FF1F497D"/>
        <bgColor rgb="FF1F497D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0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E7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/>
      <top/>
      <bottom/>
    </border>
    <border>
      <top/>
      <bottom/>
    </border>
    <border>
      <left style="thin">
        <color rgb="FFD9D9D9"/>
      </left>
      <top style="thin">
        <color rgb="FFD9D9D9"/>
      </top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/>
    </xf>
    <xf borderId="1" fillId="5" fontId="7" numFmtId="0" xfId="0" applyAlignment="1" applyBorder="1" applyFill="1" applyFont="1">
      <alignment horizontal="center" shrinkToFit="0" vertical="center" wrapText="1"/>
    </xf>
    <xf borderId="1" fillId="0" fontId="8" numFmtId="164" xfId="0" applyBorder="1" applyFont="1" applyNumberFormat="1"/>
    <xf borderId="1" fillId="0" fontId="7" numFmtId="0" xfId="0" applyAlignment="1" applyBorder="1" applyFont="1">
      <alignment horizontal="center"/>
    </xf>
    <xf borderId="1" fillId="0" fontId="8" numFmtId="0" xfId="0" applyAlignment="1" applyBorder="1" applyFont="1">
      <alignment horizontal="left"/>
    </xf>
    <xf borderId="1" fillId="0" fontId="8" numFmtId="0" xfId="0" applyBorder="1" applyFont="1"/>
    <xf borderId="1" fillId="0" fontId="8" numFmtId="4" xfId="0" applyBorder="1" applyFont="1" applyNumberFormat="1"/>
    <xf borderId="1" fillId="0" fontId="9" numFmtId="164" xfId="0" applyAlignment="1" applyBorder="1" applyFont="1" applyNumberFormat="1">
      <alignment horizontal="right"/>
    </xf>
    <xf borderId="1" fillId="0" fontId="9" numFmtId="0" xfId="0" applyBorder="1" applyFont="1"/>
    <xf borderId="1" fillId="0" fontId="8" numFmtId="165" xfId="0" applyBorder="1" applyFont="1" applyNumberFormat="1"/>
    <xf borderId="1" fillId="0" fontId="9" numFmtId="4" xfId="0" applyAlignment="1" applyBorder="1" applyFont="1" applyNumberFormat="1">
      <alignment horizontal="right"/>
    </xf>
    <xf borderId="1" fillId="0" fontId="8" numFmtId="166" xfId="0" applyBorder="1" applyFont="1" applyNumberFormat="1"/>
    <xf borderId="1" fillId="0" fontId="8" numFmtId="167" xfId="0" applyBorder="1" applyFont="1" applyNumberFormat="1"/>
    <xf borderId="1" fillId="0" fontId="9" numFmtId="166" xfId="0" applyAlignment="1" applyBorder="1" applyFont="1" applyNumberFormat="1">
      <alignment horizontal="right"/>
    </xf>
    <xf borderId="1" fillId="0" fontId="8" numFmtId="10" xfId="0" applyAlignment="1" applyBorder="1" applyFont="1" applyNumberFormat="1">
      <alignment horizontal="center"/>
    </xf>
    <xf borderId="1" fillId="6" fontId="10" numFmtId="0" xfId="0" applyAlignment="1" applyBorder="1" applyFill="1" applyFont="1">
      <alignment horizontal="center"/>
    </xf>
    <xf borderId="1" fillId="0" fontId="9" numFmtId="168" xfId="0" applyAlignment="1" applyBorder="1" applyFont="1" applyNumberFormat="1">
      <alignment horizontal="right"/>
    </xf>
    <xf borderId="1" fillId="7" fontId="8" numFmtId="0" xfId="0" applyAlignment="1" applyBorder="1" applyFill="1" applyFont="1">
      <alignment horizontal="center"/>
    </xf>
    <xf borderId="1" fillId="8" fontId="7" numFmtId="164" xfId="0" applyAlignment="1" applyBorder="1" applyFill="1" applyFont="1" applyNumberFormat="1">
      <alignment horizontal="center"/>
    </xf>
    <xf borderId="1" fillId="7" fontId="8" numFmtId="164" xfId="0" applyBorder="1" applyFill="1" applyFont="1" applyNumberFormat="1"/>
    <xf borderId="1" fillId="0" fontId="8" numFmtId="169" xfId="0" applyBorder="1" applyFont="1" applyNumberFormat="1"/>
    <xf borderId="1" fillId="6" fontId="7" numFmtId="10" xfId="0" applyAlignment="1" applyBorder="1" applyFill="1" applyFont="1" applyNumberFormat="1">
      <alignment horizontal="center"/>
    </xf>
    <xf borderId="1" fillId="7" fontId="8" numFmtId="165" xfId="0" applyBorder="1" applyFill="1" applyFont="1" applyNumberFormat="1"/>
    <xf borderId="1" fillId="7" fontId="8" numFmtId="167" xfId="0" applyBorder="1" applyFill="1" applyFont="1" applyNumberFormat="1"/>
    <xf borderId="1" fillId="7" fontId="8" numFmtId="166" xfId="0" applyBorder="1" applyFill="1" applyFont="1" applyNumberFormat="1"/>
    <xf borderId="1" fillId="7" fontId="8" numFmtId="10" xfId="0" applyAlignment="1" applyBorder="1" applyFill="1" applyFont="1" applyNumberFormat="1">
      <alignment horizontal="center"/>
    </xf>
    <xf borderId="1" fillId="9" fontId="7" numFmtId="164" xfId="0" applyAlignment="1" applyBorder="1" applyFill="1" applyFont="1" applyNumberFormat="1">
      <alignment horizontal="center"/>
    </xf>
    <xf borderId="1" fillId="7" fontId="8" numFmtId="169" xfId="0" applyBorder="1" applyFill="1" applyFont="1" applyNumberFormat="1"/>
    <xf borderId="1" fillId="10" fontId="7" numFmtId="10" xfId="0" applyAlignment="1" applyBorder="1" applyFill="1" applyFont="1" applyNumberFormat="1">
      <alignment horizontal="center"/>
    </xf>
    <xf borderId="1" fillId="7" fontId="7" numFmtId="0" xfId="0" applyAlignment="1" applyBorder="1" applyFill="1" applyFont="1">
      <alignment horizontal="center"/>
    </xf>
    <xf borderId="1" fillId="7" fontId="8" numFmtId="0" xfId="0" applyBorder="1" applyFill="1" applyFont="1"/>
    <xf borderId="1" fillId="7" fontId="9" numFmtId="164" xfId="0" applyAlignment="1" applyBorder="1" applyFill="1" applyFont="1" applyNumberFormat="1">
      <alignment horizontal="right"/>
    </xf>
    <xf borderId="1" fillId="7" fontId="9" numFmtId="4" xfId="0" applyAlignment="1" applyBorder="1" applyFill="1" applyFont="1" applyNumberFormat="1">
      <alignment horizontal="right"/>
    </xf>
    <xf borderId="1" fillId="7" fontId="9" numFmtId="166" xfId="0" applyAlignment="1" applyBorder="1" applyFill="1" applyFont="1" applyNumberFormat="1">
      <alignment horizontal="right"/>
    </xf>
    <xf borderId="1" fillId="7" fontId="9" numFmtId="168" xfId="0" applyAlignment="1" applyBorder="1" applyFill="1" applyFont="1" applyNumberFormat="1">
      <alignment horizontal="right"/>
    </xf>
    <xf borderId="2" fillId="11" fontId="7" numFmtId="0" xfId="0" applyBorder="1" applyFill="1" applyFont="1"/>
    <xf borderId="2" fillId="11" fontId="7" numFmtId="164" xfId="0" applyAlignment="1" applyBorder="1" applyFill="1" applyFont="1" applyNumberFormat="1">
      <alignment horizontal="right"/>
    </xf>
    <xf borderId="2" fillId="11" fontId="7" numFmtId="4" xfId="0" applyAlignment="1" applyBorder="1" applyFill="1" applyFont="1" applyNumberFormat="1">
      <alignment horizontal="right"/>
    </xf>
    <xf borderId="2" fillId="11" fontId="7" numFmtId="170" xfId="0" applyAlignment="1" applyBorder="1" applyFill="1" applyFont="1" applyNumberFormat="1">
      <alignment horizontal="right"/>
    </xf>
    <xf borderId="1" fillId="5" fontId="11" numFmtId="0" xfId="0" applyAlignment="1" applyBorder="1" applyFill="1" applyFont="1">
      <alignment horizontal="center"/>
    </xf>
    <xf borderId="1" fillId="0" fontId="11" numFmtId="165" xfId="0" applyBorder="1" applyFont="1" applyNumberFormat="1"/>
    <xf borderId="2" fillId="11" fontId="7" numFmtId="168" xfId="0" applyAlignment="1" applyBorder="1" applyFill="1" applyFont="1" applyNumberFormat="1">
      <alignment horizontal="right"/>
    </xf>
    <xf borderId="1" fillId="7" fontId="11" numFmtId="165" xfId="0" applyBorder="1" applyFill="1" applyFont="1" applyNumberFormat="1"/>
    <xf borderId="1" fillId="12" fontId="6" numFmtId="0" xfId="0" applyAlignment="1" applyBorder="1" applyFill="1" applyFont="1">
      <alignment horizontal="center" shrinkToFit="0" vertical="center" wrapText="1"/>
    </xf>
    <xf borderId="0" fillId="0" fontId="12" numFmtId="0" xfId="0" applyFont="1"/>
    <xf borderId="1" fillId="13" fontId="6" numFmtId="0" xfId="0" applyAlignment="1" applyBorder="1" applyFill="1" applyFont="1">
      <alignment horizontal="center" shrinkToFit="0" vertical="center" wrapText="1"/>
    </xf>
    <xf borderId="1" fillId="0" fontId="8" numFmtId="164" xfId="0" applyAlignment="1" applyBorder="1" applyFont="1" applyNumberFormat="1">
      <alignment horizontal="right"/>
    </xf>
    <xf borderId="1" fillId="0" fontId="8" numFmtId="166" xfId="0" applyAlignment="1" applyBorder="1" applyFont="1" applyNumberFormat="1">
      <alignment horizontal="right"/>
    </xf>
    <xf borderId="1" fillId="0" fontId="8" numFmtId="171" xfId="0" applyBorder="1" applyFont="1" applyNumberFormat="1"/>
    <xf borderId="1" fillId="0" fontId="8" numFmtId="10" xfId="0" applyBorder="1" applyFont="1" applyNumberFormat="1"/>
    <xf borderId="1" fillId="0" fontId="8" numFmtId="172" xfId="0" applyBorder="1" applyFont="1" applyNumberFormat="1"/>
    <xf borderId="0" fillId="0" fontId="13" numFmtId="0" xfId="0" applyFont="1"/>
    <xf borderId="1" fillId="7" fontId="8" numFmtId="171" xfId="0" applyBorder="1" applyFill="1" applyFont="1" applyNumberFormat="1"/>
    <xf borderId="1" fillId="7" fontId="8" numFmtId="10" xfId="0" applyBorder="1" applyFill="1" applyFont="1" applyNumberFormat="1"/>
    <xf borderId="1" fillId="7" fontId="8" numFmtId="172" xfId="0" applyBorder="1" applyFill="1" applyFont="1" applyNumberFormat="1"/>
    <xf borderId="1" fillId="0" fontId="7" numFmtId="0" xfId="0" applyAlignment="1" applyBorder="1" applyFont="1">
      <alignment horizontal="left"/>
    </xf>
    <xf borderId="1" fillId="0" fontId="7" numFmtId="166" xfId="0" applyAlignment="1" applyBorder="1" applyFont="1" applyNumberFormat="1">
      <alignment horizontal="right"/>
    </xf>
    <xf borderId="1" fillId="0" fontId="7" numFmtId="164" xfId="0" applyAlignment="1" applyBorder="1" applyFont="1" applyNumberFormat="1">
      <alignment horizontal="right"/>
    </xf>
    <xf borderId="2" fillId="11" fontId="7" numFmtId="0" xfId="0" applyAlignment="1" applyBorder="1" applyFill="1" applyFont="1">
      <alignment horizontal="center"/>
    </xf>
    <xf borderId="2" fillId="11" fontId="7" numFmtId="0" xfId="0" applyAlignment="1" applyBorder="1" applyFill="1" applyFont="1">
      <alignment horizontal="right"/>
    </xf>
    <xf borderId="2" fillId="0" fontId="7" numFmtId="0" xfId="0" applyBorder="1" applyFont="1"/>
    <xf borderId="2" fillId="0" fontId="7" numFmtId="164" xfId="0" applyAlignment="1" applyBorder="1" applyFont="1" applyNumberFormat="1">
      <alignment horizontal="right"/>
    </xf>
    <xf borderId="2" fillId="0" fontId="7" numFmtId="0" xfId="0" applyAlignment="1" applyBorder="1" applyFont="1">
      <alignment horizontal="right"/>
    </xf>
    <xf borderId="0" fillId="0" fontId="14" numFmtId="0" xfId="0" applyFont="1"/>
    <xf borderId="1" fillId="0" fontId="7" numFmtId="172" xfId="0" applyAlignment="1" applyBorder="1" applyFont="1" applyNumberFormat="1">
      <alignment horizontal="center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1" fillId="5" fontId="11" numFmtId="172" xfId="0" applyAlignment="1" applyBorder="1" applyFill="1" applyFont="1" applyNumberFormat="1">
      <alignment horizontal="center"/>
    </xf>
    <xf borderId="0" fillId="0" fontId="9" numFmtId="0" xfId="0" applyAlignment="1" applyFont="1">
      <alignment vertical="bottom"/>
    </xf>
    <xf borderId="1" fillId="3" fontId="15" numFmtId="0" xfId="0" applyAlignment="1" applyBorder="1" applyFill="1" applyFont="1">
      <alignment horizontal="center" shrinkToFit="0" vertical="bottom" wrapText="1"/>
    </xf>
    <xf borderId="2" fillId="11" fontId="7" numFmtId="172" xfId="0" applyAlignment="1" applyBorder="1" applyFill="1" applyFont="1" applyNumberFormat="1">
      <alignment horizontal="center"/>
    </xf>
    <xf borderId="1" fillId="3" fontId="15" numFmtId="0" xfId="0" applyAlignment="1" applyBorder="1" applyFill="1" applyFont="1">
      <alignment horizontal="center" readingOrder="0" shrinkToFit="0" vertical="bottom" wrapText="1"/>
    </xf>
    <xf borderId="1" fillId="0" fontId="16" numFmtId="0" xfId="0" applyAlignment="1" applyBorder="1" applyFont="1">
      <alignment vertical="bottom"/>
    </xf>
    <xf borderId="1" fillId="0" fontId="9" numFmtId="164" xfId="0" applyAlignment="1" applyBorder="1" applyFont="1" applyNumberFormat="1">
      <alignment horizontal="right" vertical="bottom"/>
    </xf>
    <xf borderId="1" fillId="0" fontId="9" numFmtId="4" xfId="0" applyAlignment="1" applyBorder="1" applyFont="1" applyNumberFormat="1">
      <alignment horizontal="right" vertical="bottom"/>
    </xf>
    <xf borderId="1" fillId="0" fontId="9" numFmtId="166" xfId="0" applyAlignment="1" applyBorder="1" applyFont="1" applyNumberFormat="1">
      <alignment horizontal="right" readingOrder="0" vertical="bottom"/>
    </xf>
    <xf borderId="1" fillId="0" fontId="9" numFmtId="0" xfId="0" applyAlignment="1" applyBorder="1" applyFont="1">
      <alignment horizontal="center" vertical="bottom"/>
    </xf>
    <xf borderId="1" fillId="0" fontId="9" numFmtId="164" xfId="0" applyAlignment="1" applyBorder="1" applyFont="1" applyNumberFormat="1">
      <alignment horizontal="right" readingOrder="0" vertical="bottom"/>
    </xf>
    <xf borderId="1" fillId="7" fontId="16" numFmtId="0" xfId="0" applyAlignment="1" applyBorder="1" applyFill="1" applyFont="1">
      <alignment vertical="bottom"/>
    </xf>
    <xf borderId="1" fillId="7" fontId="9" numFmtId="164" xfId="0" applyAlignment="1" applyBorder="1" applyFill="1" applyFont="1" applyNumberFormat="1">
      <alignment horizontal="right" vertical="bottom"/>
    </xf>
    <xf borderId="1" fillId="7" fontId="9" numFmtId="4" xfId="0" applyAlignment="1" applyBorder="1" applyFill="1" applyFont="1" applyNumberFormat="1">
      <alignment horizontal="right" vertical="bottom"/>
    </xf>
    <xf borderId="1" fillId="7" fontId="9" numFmtId="164" xfId="0" applyAlignment="1" applyBorder="1" applyFill="1" applyFont="1" applyNumberFormat="1">
      <alignment horizontal="right" readingOrder="0" vertical="bottom"/>
    </xf>
    <xf borderId="1" fillId="7" fontId="9" numFmtId="0" xfId="0" applyAlignment="1" applyBorder="1" applyFill="1" applyFont="1">
      <alignment horizontal="center" vertical="bottom"/>
    </xf>
    <xf borderId="2" fillId="11" fontId="16" numFmtId="0" xfId="0" applyAlignment="1" applyBorder="1" applyFill="1" applyFont="1">
      <alignment vertical="bottom"/>
    </xf>
    <xf borderId="2" fillId="11" fontId="16" numFmtId="164" xfId="0" applyAlignment="1" applyBorder="1" applyFill="1" applyFont="1" applyNumberFormat="1">
      <alignment horizontal="right" vertical="bottom"/>
    </xf>
    <xf borderId="2" fillId="11" fontId="16" numFmtId="4" xfId="0" applyAlignment="1" applyBorder="1" applyFill="1" applyFont="1" applyNumberFormat="1">
      <alignment horizontal="right" vertical="bottom"/>
    </xf>
    <xf borderId="2" fillId="11" fontId="16" numFmtId="0" xfId="0" applyAlignment="1" applyBorder="1" applyFill="1" applyFont="1">
      <alignment horizontal="right" vertical="bottom"/>
    </xf>
    <xf borderId="2" fillId="11" fontId="16" numFmtId="0" xfId="0" applyAlignment="1" applyBorder="1" applyFill="1" applyFont="1">
      <alignment horizontal="center" vertical="bottom"/>
    </xf>
    <xf borderId="2" fillId="11" fontId="16" numFmtId="164" xfId="0" applyAlignment="1" applyBorder="1" applyFill="1" applyFont="1" applyNumberFormat="1">
      <alignment horizontal="right" vertical="bottom"/>
    </xf>
    <xf borderId="1" fillId="0" fontId="6" numFmtId="0" xfId="0" applyAlignment="1" applyBorder="1" applyFont="1">
      <alignment horizontal="center" shrinkToFit="0" vertical="center" wrapText="1"/>
    </xf>
    <xf borderId="3" fillId="0" fontId="8" numFmtId="164" xfId="0" applyAlignment="1" applyBorder="1" applyFont="1" applyNumberFormat="1">
      <alignment horizontal="right"/>
    </xf>
    <xf borderId="3" fillId="0" fontId="7" numFmtId="166" xfId="0" applyAlignment="1" applyBorder="1" applyFont="1" applyNumberFormat="1">
      <alignment horizontal="right"/>
    </xf>
    <xf borderId="3" fillId="0" fontId="7" numFmtId="0" xfId="0" applyAlignment="1" applyBorder="1" applyFont="1">
      <alignment horizontal="center"/>
    </xf>
    <xf borderId="4" fillId="14" fontId="17" numFmtId="0" xfId="0" applyAlignment="1" applyBorder="1" applyFill="1" applyFont="1">
      <alignment horizontal="center" shrinkToFit="0" vertical="center" wrapText="1"/>
    </xf>
    <xf borderId="3" fillId="0" fontId="8" numFmtId="166" xfId="0" applyAlignment="1" applyBorder="1" applyFont="1" applyNumberFormat="1">
      <alignment horizontal="right"/>
    </xf>
    <xf borderId="5" fillId="0" fontId="18" numFmtId="0" xfId="0" applyBorder="1" applyFont="1"/>
    <xf borderId="6" fillId="0" fontId="8" numFmtId="166" xfId="0" applyAlignment="1" applyBorder="1" applyFont="1" applyNumberFormat="1">
      <alignment horizontal="right"/>
    </xf>
    <xf borderId="0" fillId="0" fontId="8" numFmtId="164" xfId="0" applyAlignment="1" applyFont="1" applyNumberFormat="1">
      <alignment horizontal="right"/>
    </xf>
    <xf borderId="7" fillId="0" fontId="18" numFmtId="0" xfId="0" applyBorder="1" applyFont="1"/>
    <xf borderId="0" fillId="0" fontId="8" numFmtId="166" xfId="0" applyAlignment="1" applyFont="1" applyNumberFormat="1">
      <alignment horizontal="right"/>
    </xf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right"/>
    </xf>
    <xf borderId="0" fillId="0" fontId="7" numFmtId="0" xfId="0" applyAlignment="1" applyFont="1">
      <alignment horizontal="right"/>
    </xf>
    <xf borderId="0" fillId="0" fontId="19" numFmtId="0" xfId="0" applyFont="1"/>
    <xf borderId="0" fillId="0" fontId="20" numFmtId="0" xfId="0" applyFont="1"/>
    <xf borderId="8" fillId="14" fontId="15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9" numFmtId="4" xfId="0" applyAlignment="1" applyFont="1" applyNumberFormat="1">
      <alignment horizontal="right"/>
    </xf>
    <xf borderId="0" fillId="0" fontId="7" numFmtId="172" xfId="0" applyAlignment="1" applyFont="1" applyNumberFormat="1">
      <alignment horizontal="center"/>
    </xf>
    <xf borderId="8" fillId="0" fontId="9" numFmtId="0" xfId="0" applyAlignment="1" applyBorder="1" applyFont="1">
      <alignment horizontal="center" shrinkToFit="0" vertical="center" wrapText="1"/>
    </xf>
    <xf borderId="8" fillId="0" fontId="9" numFmtId="164" xfId="0" applyAlignment="1" applyBorder="1" applyFont="1" applyNumberFormat="1">
      <alignment horizontal="center" shrinkToFit="0" vertical="center" wrapText="1"/>
    </xf>
    <xf borderId="0" fillId="0" fontId="7" numFmtId="4" xfId="0" applyAlignment="1" applyFont="1" applyNumberFormat="1">
      <alignment horizontal="right"/>
    </xf>
    <xf borderId="8" fillId="15" fontId="21" numFmtId="0" xfId="0" applyAlignment="1" applyBorder="1" applyFill="1" applyFont="1">
      <alignment horizontal="center" shrinkToFit="0" vertical="center" wrapText="1"/>
    </xf>
    <xf borderId="0" fillId="0" fontId="22" numFmtId="0" xfId="0" applyFont="1"/>
    <xf borderId="0" fillId="0" fontId="23" numFmtId="0" xfId="0" applyFont="1"/>
    <xf borderId="0" fillId="0" fontId="24" numFmtId="0" xfId="0" applyFont="1"/>
    <xf borderId="8" fillId="16" fontId="25" numFmtId="0" xfId="0" applyAlignment="1" applyBorder="1" applyFill="1" applyFont="1">
      <alignment horizontal="center" shrinkToFit="0" vertical="center" wrapText="1"/>
    </xf>
    <xf borderId="0" fillId="0" fontId="26" numFmtId="0" xfId="0" applyFont="1"/>
    <xf borderId="0" fillId="0" fontId="27" numFmtId="0" xfId="0" applyFont="1"/>
    <xf borderId="0" fillId="0" fontId="28" numFmtId="0" xfId="0" applyFont="1"/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3" numFmtId="164" xfId="0" applyFont="1" applyNumberFormat="1"/>
    <xf borderId="0" fillId="0" fontId="29" numFmtId="0" xfId="0" applyAlignment="1" applyFont="1">
      <alignment readingOrder="0"/>
    </xf>
    <xf borderId="0" fillId="0" fontId="29" numFmtId="0" xfId="0" applyFont="1"/>
    <xf borderId="9" fillId="0" fontId="29" numFmtId="0" xfId="0" applyAlignment="1" applyBorder="1" applyFont="1">
      <alignment horizontal="center" readingOrder="0" shrinkToFit="0" vertical="center" wrapText="1"/>
    </xf>
    <xf borderId="0" fillId="0" fontId="30" numFmtId="0" xfId="0" applyAlignment="1" applyFont="1">
      <alignment horizontal="left"/>
    </xf>
    <xf borderId="0" fillId="0" fontId="30" numFmtId="164" xfId="0" applyAlignment="1" applyFont="1" applyNumberFormat="1">
      <alignment horizontal="right"/>
    </xf>
    <xf borderId="0" fillId="0" fontId="30" numFmtId="164" xfId="0" applyAlignment="1" applyFont="1" applyNumberFormat="1">
      <alignment horizontal="right" readingOrder="0"/>
    </xf>
    <xf borderId="0" fillId="0" fontId="30" numFmtId="3" xfId="0" applyAlignment="1" applyFont="1" applyNumberFormat="1">
      <alignment horizontal="right" readingOrder="0"/>
    </xf>
    <xf borderId="0" fillId="0" fontId="23" numFmtId="2" xfId="0" applyAlignment="1" applyFont="1" applyNumberFormat="1">
      <alignment horizontal="right"/>
    </xf>
    <xf borderId="0" fillId="0" fontId="23" numFmtId="164" xfId="0" applyAlignment="1" applyFont="1" applyNumberFormat="1">
      <alignment horizontal="right"/>
    </xf>
    <xf borderId="0" fillId="0" fontId="23" numFmtId="173" xfId="0" applyAlignment="1" applyFont="1" applyNumberFormat="1">
      <alignment horizontal="right"/>
    </xf>
    <xf borderId="0" fillId="0" fontId="16" numFmtId="0" xfId="0" applyAlignment="1" applyFont="1">
      <alignment vertical="bottom"/>
    </xf>
    <xf borderId="1" fillId="0" fontId="31" numFmtId="164" xfId="0" applyAlignment="1" applyBorder="1" applyFont="1" applyNumberFormat="1">
      <alignment horizontal="right" vertical="bottom"/>
    </xf>
    <xf borderId="0" fillId="0" fontId="9" numFmtId="0" xfId="0" applyAlignment="1" applyFont="1">
      <alignment horizontal="right" vertical="bottom"/>
    </xf>
    <xf borderId="0" fillId="0" fontId="32" numFmtId="0" xfId="0" applyAlignment="1" applyFont="1">
      <alignment horizontal="left" readingOrder="0" shrinkToFit="0" wrapText="1"/>
    </xf>
    <xf borderId="0" fillId="0" fontId="33" numFmtId="0" xfId="0" applyAlignment="1" applyFont="1">
      <alignment horizontal="left" readingOrder="0" shrinkToFit="0" wrapText="1"/>
    </xf>
    <xf borderId="0" fillId="0" fontId="33" numFmtId="168" xfId="0" applyAlignment="1" applyFont="1" applyNumberFormat="1">
      <alignment horizontal="left" readingOrder="0" shrinkToFit="0" wrapText="1"/>
    </xf>
    <xf borderId="0" fillId="0" fontId="34" numFmtId="0" xfId="0" applyAlignment="1" applyFont="1">
      <alignment horizontal="left" readingOrder="0" shrinkToFit="0" wrapText="1"/>
    </xf>
    <xf borderId="0" fillId="0" fontId="34" numFmtId="168" xfId="0" applyAlignment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Comparatif : Excel vs Modèle Fortran (AMC-II vs AMC-III)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'Graphiques Mémoire'!$B$4</c:f>
            </c:strRef>
          </c:tx>
          <c:spPr>
            <a:ln cmpd="sng">
              <a:solidFill>
                <a:srgbClr val="4F93CC"/>
              </a:solidFill>
            </a:ln>
          </c:spPr>
          <c:marker>
            <c:symbol val="none"/>
          </c:marker>
          <c:cat>
            <c:strRef>
              <c:f>'Graphiques Mémoire'!$A$5:$A$10</c:f>
            </c:strRef>
          </c:cat>
          <c:val>
            <c:numRef>
              <c:f>'Graphiques Mémoire'!$B$5:$B$10</c:f>
              <c:numCache/>
            </c:numRef>
          </c:val>
          <c:smooth val="1"/>
        </c:ser>
        <c:ser>
          <c:idx val="1"/>
          <c:order val="1"/>
          <c:tx>
            <c:strRef>
              <c:f>'Graphiques Mémoire'!$C$4</c:f>
            </c:strRef>
          </c:tx>
          <c:spPr>
            <a:ln cmpd="sng">
              <a:solidFill>
                <a:srgbClr val="1E599E"/>
              </a:solidFill>
            </a:ln>
          </c:spPr>
          <c:marker>
            <c:symbol val="none"/>
          </c:marker>
          <c:cat>
            <c:strRef>
              <c:f>'Graphiques Mémoire'!$A$5:$A$10</c:f>
            </c:strRef>
          </c:cat>
          <c:val>
            <c:numRef>
              <c:f>'Graphiques Mémoire'!$C$5:$C$10</c:f>
              <c:numCache/>
            </c:numRef>
          </c:val>
          <c:smooth val="1"/>
        </c:ser>
        <c:ser>
          <c:idx val="2"/>
          <c:order val="2"/>
          <c:tx>
            <c:strRef>
              <c:f>'Graphiques Mémoire'!$D$4</c:f>
            </c:strRef>
          </c:tx>
          <c:spPr>
            <a:ln cmpd="sng">
              <a:solidFill>
                <a:srgbClr val="ED7560"/>
              </a:solidFill>
            </a:ln>
          </c:spPr>
          <c:marker>
            <c:symbol val="none"/>
          </c:marker>
          <c:cat>
            <c:strRef>
              <c:f>'Graphiques Mémoire'!$A$5:$A$10</c:f>
            </c:strRef>
          </c:cat>
          <c:val>
            <c:numRef>
              <c:f>'Graphiques Mémoire'!$D$5:$D$10</c:f>
              <c:numCache/>
            </c:numRef>
          </c:val>
          <c:smooth val="1"/>
        </c:ser>
        <c:ser>
          <c:idx val="3"/>
          <c:order val="3"/>
          <c:tx>
            <c:strRef>
              <c:f>'Graphiques Mémoire'!$E$4</c:f>
            </c:strRef>
          </c:tx>
          <c:spPr>
            <a:ln cmpd="sng">
              <a:solidFill>
                <a:srgbClr val="C63328"/>
              </a:solidFill>
            </a:ln>
          </c:spPr>
          <c:marker>
            <c:symbol val="none"/>
          </c:marker>
          <c:cat>
            <c:strRef>
              <c:f>'Graphiques Mémoire'!$A$5:$A$10</c:f>
            </c:strRef>
          </c:cat>
          <c:val>
            <c:numRef>
              <c:f>'Graphiques Mémoire'!$E$5:$E$10</c:f>
              <c:numCache/>
            </c:numRef>
          </c:val>
          <c:smooth val="1"/>
        </c:ser>
        <c:axId val="204197186"/>
        <c:axId val="699180557"/>
      </c:lineChart>
      <c:catAx>
        <c:axId val="204197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Période de retour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99180557"/>
      </c:catAx>
      <c:valAx>
        <c:axId val="6991805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Volume ruisselé (m³)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419718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Risque de Débordement du Bassin (Capacité Critique 1 500 m³) Modèle Fortran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'Graphiques Mémoire'!$H$4</c:f>
            </c:strRef>
          </c:tx>
          <c:spPr>
            <a:solidFill>
              <a:srgbClr val="1C72E8">
                <a:alpha val="30000"/>
              </a:srgbClr>
            </a:solidFill>
            <a:ln cmpd="sng">
              <a:solidFill>
                <a:srgbClr val="1C72E8"/>
              </a:solidFill>
            </a:ln>
          </c:spPr>
          <c:cat>
            <c:strRef>
              <c:f>'Graphiques Mémoire'!$G$5:$G$10</c:f>
            </c:strRef>
          </c:cat>
          <c:val>
            <c:numRef>
              <c:f>'Graphiques Mémoire'!$H$5:$H$10</c:f>
              <c:numCache/>
            </c:numRef>
          </c:val>
        </c:ser>
        <c:ser>
          <c:idx val="1"/>
          <c:order val="1"/>
          <c:tx>
            <c:strRef>
              <c:f>'Graphiques Mémoire'!$I$4</c:f>
            </c:strRef>
          </c:tx>
          <c:spPr>
            <a:solidFill>
              <a:srgbClr val="D83026">
                <a:alpha val="30000"/>
              </a:srgbClr>
            </a:solidFill>
            <a:ln cmpd="sng">
              <a:solidFill>
                <a:srgbClr val="D83026"/>
              </a:solidFill>
            </a:ln>
          </c:spPr>
          <c:cat>
            <c:strRef>
              <c:f>'Graphiques Mémoire'!$G$5:$G$10</c:f>
            </c:strRef>
          </c:cat>
          <c:val>
            <c:numRef>
              <c:f>'Graphiques Mémoire'!$I$5:$I$10</c:f>
              <c:numCache/>
            </c:numRef>
          </c:val>
        </c:ser>
        <c:axId val="1643363910"/>
        <c:axId val="957459441"/>
      </c:areaChart>
      <c:lineChart>
        <c:varyColors val="0"/>
        <c:ser>
          <c:idx val="2"/>
          <c:order val="2"/>
          <c:tx>
            <c:strRef>
              <c:f>'Graphiques Mémoire'!$J$4</c:f>
            </c:strRef>
          </c:tx>
          <c:spPr>
            <a:ln cmpd="sng">
              <a:solidFill>
                <a:srgbClr val="262626"/>
              </a:solidFill>
              <a:prstDash val="dash"/>
            </a:ln>
          </c:spPr>
          <c:marker>
            <c:symbol val="none"/>
          </c:marker>
          <c:cat>
            <c:strRef>
              <c:f>'Graphiques Mémoire'!$G$5:$G$10</c:f>
            </c:strRef>
          </c:cat>
          <c:val>
            <c:numRef>
              <c:f>'Graphiques Mémoire'!$J$5:$J$10</c:f>
              <c:numCache/>
            </c:numRef>
          </c:val>
          <c:smooth val="0"/>
        </c:ser>
        <c:axId val="1643363910"/>
        <c:axId val="957459441"/>
      </c:lineChart>
      <c:catAx>
        <c:axId val="16433639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Période de retour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57459441"/>
      </c:catAx>
      <c:valAx>
        <c:axId val="957459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Volume ruisselé / Capacité (m³)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4336391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Levier de l'Enherbement Viticole (SFN) sur le Ruissellement QP10 (m³)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'Graphiques Mémoire'!$I$14</c:f>
            </c:strRef>
          </c:tx>
          <c:spPr>
            <a:solidFill>
              <a:srgbClr val="E27228"/>
            </a:solidFill>
            <a:ln cmpd="sng">
              <a:noFill/>
            </a:ln>
          </c:spPr>
          <c:invertIfNegative val="0"/>
          <c:cat>
            <c:strRef>
              <c:f>'Graphiques Mémoire'!$G$15:$G$17</c:f>
            </c:strRef>
          </c:cat>
          <c:val>
            <c:numRef>
              <c:f>'Graphiques Mémoire'!$I$15:$I$17</c:f>
              <c:numCache/>
            </c:numRef>
          </c:val>
        </c:ser>
        <c:ser>
          <c:idx val="1"/>
          <c:order val="1"/>
          <c:tx>
            <c:strRef>
              <c:f>'Graphiques Mémoire'!$J$14</c:f>
            </c:strRef>
          </c:tx>
          <c:spPr>
            <a:solidFill>
              <a:srgbClr val="2D7C33"/>
            </a:solidFill>
            <a:ln cmpd="sng">
              <a:noFill/>
            </a:ln>
          </c:spPr>
          <c:invertIfNegative val="0"/>
          <c:cat>
            <c:strRef>
              <c:f>'Graphiques Mémoire'!$G$15:$G$17</c:f>
            </c:strRef>
          </c:cat>
          <c:val>
            <c:numRef>
              <c:f>'Graphiques Mémoire'!$J$15:$J$17</c:f>
              <c:numCache/>
            </c:numRef>
          </c:val>
        </c:ser>
        <c:axId val="1899415345"/>
        <c:axId val="1773858177"/>
      </c:barChart>
      <c:catAx>
        <c:axId val="18994153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Mode de conduite viticole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3858177"/>
      </c:catAx>
      <c:valAx>
        <c:axId val="17738581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Volume ruisselé QP10 (m³)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9941534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Débit de Fuite - Volumes à Stocker vs Capacité Bassin (Fortran avec infiltration)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'Graphiques Mémoire'!$B$13</c:f>
            </c:strRef>
          </c:tx>
          <c:spPr>
            <a:ln cmpd="sng">
              <a:solidFill>
                <a:srgbClr val="337ED7"/>
              </a:solidFill>
            </a:ln>
          </c:spPr>
          <c:marker>
            <c:symbol val="none"/>
          </c:marker>
          <c:cat>
            <c:strRef>
              <c:f>'Graphiques Mémoire'!$A$14:$A$19</c:f>
            </c:strRef>
          </c:cat>
          <c:val>
            <c:numRef>
              <c:f>'Graphiques Mémoire'!$B$14:$B$19</c:f>
              <c:numCache/>
            </c:numRef>
          </c:val>
          <c:smooth val="0"/>
        </c:ser>
        <c:ser>
          <c:idx val="1"/>
          <c:order val="1"/>
          <c:tx>
            <c:strRef>
              <c:f>'Graphiques Mémoire'!$C$13</c:f>
            </c:strRef>
          </c:tx>
          <c:spPr>
            <a:ln cmpd="sng">
              <a:solidFill>
                <a:srgbClr val="25AC8B"/>
              </a:solidFill>
            </a:ln>
          </c:spPr>
          <c:marker>
            <c:symbol val="none"/>
          </c:marker>
          <c:cat>
            <c:strRef>
              <c:f>'Graphiques Mémoire'!$A$14:$A$19</c:f>
            </c:strRef>
          </c:cat>
          <c:val>
            <c:numRef>
              <c:f>'Graphiques Mémoire'!$C$14:$C$19</c:f>
              <c:numCache/>
            </c:numRef>
          </c:val>
          <c:smooth val="0"/>
        </c:ser>
        <c:ser>
          <c:idx val="2"/>
          <c:order val="2"/>
          <c:tx>
            <c:strRef>
              <c:f>'Graphiques Mémoire'!$D$13</c:f>
            </c:strRef>
          </c:tx>
          <c:spPr>
            <a:ln cmpd="sng">
              <a:solidFill>
                <a:srgbClr val="E47133"/>
              </a:solidFill>
            </a:ln>
          </c:spPr>
          <c:marker>
            <c:symbol val="none"/>
          </c:marker>
          <c:cat>
            <c:strRef>
              <c:f>'Graphiques Mémoire'!$A$14:$A$19</c:f>
            </c:strRef>
          </c:cat>
          <c:val>
            <c:numRef>
              <c:f>'Graphiques Mémoire'!$D$14:$D$19</c:f>
              <c:numCache/>
            </c:numRef>
          </c:val>
          <c:smooth val="0"/>
        </c:ser>
        <c:ser>
          <c:idx val="3"/>
          <c:order val="3"/>
          <c:tx>
            <c:strRef>
              <c:f>'Graphiques Mémoire'!$E$13</c:f>
            </c:strRef>
          </c:tx>
          <c:spPr>
            <a:ln cmpd="sng">
              <a:solidFill>
                <a:srgbClr val="8C44AA"/>
              </a:solidFill>
            </a:ln>
          </c:spPr>
          <c:marker>
            <c:symbol val="none"/>
          </c:marker>
          <c:cat>
            <c:strRef>
              <c:f>'Graphiques Mémoire'!$A$14:$A$19</c:f>
            </c:strRef>
          </c:cat>
          <c:val>
            <c:numRef>
              <c:f>'Graphiques Mémoire'!$E$14:$E$19</c:f>
              <c:numCache/>
            </c:numRef>
          </c:val>
          <c:smooth val="0"/>
        </c:ser>
        <c:ser>
          <c:idx val="4"/>
          <c:order val="4"/>
          <c:tx>
            <c:strRef>
              <c:f>'Graphiques Mémoire'!$F$13</c:f>
            </c:strRef>
          </c:tx>
          <c:spPr>
            <a:ln cmpd="sng">
              <a:solidFill>
                <a:srgbClr val="D73325"/>
              </a:solidFill>
              <a:prstDash val="dash"/>
            </a:ln>
          </c:spPr>
          <c:marker>
            <c:symbol val="none"/>
          </c:marker>
          <c:cat>
            <c:strRef>
              <c:f>'Graphiques Mémoire'!$A$14:$A$19</c:f>
            </c:strRef>
          </c:cat>
          <c:val>
            <c:numRef>
              <c:f>'Graphiques Mémoire'!$F$14:$F$19</c:f>
              <c:numCache/>
            </c:numRef>
          </c:val>
          <c:smooth val="0"/>
        </c:ser>
        <c:axId val="1656786207"/>
        <c:axId val="1438001055"/>
      </c:lineChart>
      <c:catAx>
        <c:axId val="1656786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Période de retour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8001055"/>
      </c:catAx>
      <c:valAx>
        <c:axId val="14380010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Volume à stocker / Capacité (m³)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5678620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Débit de Fuite - Volumes à Stocker vs Capacité Bassin (Fortran sans infiltration)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'Graphiques Mémoire'!$B$22</c:f>
            </c:strRef>
          </c:tx>
          <c:spPr>
            <a:ln cmpd="sng">
              <a:solidFill>
                <a:srgbClr val="337ED7"/>
              </a:solidFill>
            </a:ln>
          </c:spPr>
          <c:marker>
            <c:symbol val="none"/>
          </c:marker>
          <c:cat>
            <c:strRef>
              <c:f>'Graphiques Mémoire'!$A$23:$A$28</c:f>
            </c:strRef>
          </c:cat>
          <c:val>
            <c:numRef>
              <c:f>'Graphiques Mémoire'!$B$23:$B$28</c:f>
              <c:numCache/>
            </c:numRef>
          </c:val>
          <c:smooth val="0"/>
        </c:ser>
        <c:ser>
          <c:idx val="1"/>
          <c:order val="1"/>
          <c:tx>
            <c:strRef>
              <c:f>'Graphiques Mémoire'!$C$22</c:f>
            </c:strRef>
          </c:tx>
          <c:spPr>
            <a:ln cmpd="sng">
              <a:solidFill>
                <a:srgbClr val="25AC8B"/>
              </a:solidFill>
            </a:ln>
          </c:spPr>
          <c:marker>
            <c:symbol val="none"/>
          </c:marker>
          <c:cat>
            <c:strRef>
              <c:f>'Graphiques Mémoire'!$A$23:$A$28</c:f>
            </c:strRef>
          </c:cat>
          <c:val>
            <c:numRef>
              <c:f>'Graphiques Mémoire'!$C$23:$C$28</c:f>
              <c:numCache/>
            </c:numRef>
          </c:val>
          <c:smooth val="0"/>
        </c:ser>
        <c:ser>
          <c:idx val="2"/>
          <c:order val="2"/>
          <c:tx>
            <c:strRef>
              <c:f>'Graphiques Mémoire'!$D$22</c:f>
            </c:strRef>
          </c:tx>
          <c:spPr>
            <a:ln cmpd="sng">
              <a:solidFill>
                <a:srgbClr val="E47133"/>
              </a:solidFill>
            </a:ln>
          </c:spPr>
          <c:marker>
            <c:symbol val="none"/>
          </c:marker>
          <c:cat>
            <c:strRef>
              <c:f>'Graphiques Mémoire'!$A$23:$A$28</c:f>
            </c:strRef>
          </c:cat>
          <c:val>
            <c:numRef>
              <c:f>'Graphiques Mémoire'!$D$23:$D$28</c:f>
              <c:numCache/>
            </c:numRef>
          </c:val>
          <c:smooth val="0"/>
        </c:ser>
        <c:ser>
          <c:idx val="3"/>
          <c:order val="3"/>
          <c:tx>
            <c:strRef>
              <c:f>'Graphiques Mémoire'!$E$22</c:f>
            </c:strRef>
          </c:tx>
          <c:spPr>
            <a:ln cmpd="sng">
              <a:solidFill>
                <a:srgbClr val="8C44AA"/>
              </a:solidFill>
            </a:ln>
          </c:spPr>
          <c:marker>
            <c:symbol val="none"/>
          </c:marker>
          <c:cat>
            <c:strRef>
              <c:f>'Graphiques Mémoire'!$A$23:$A$28</c:f>
            </c:strRef>
          </c:cat>
          <c:val>
            <c:numRef>
              <c:f>'Graphiques Mémoire'!$E$23:$E$28</c:f>
              <c:numCache/>
            </c:numRef>
          </c:val>
          <c:smooth val="0"/>
        </c:ser>
        <c:ser>
          <c:idx val="4"/>
          <c:order val="4"/>
          <c:tx>
            <c:strRef>
              <c:f>'Graphiques Mémoire'!$F$22</c:f>
            </c:strRef>
          </c:tx>
          <c:spPr>
            <a:ln cmpd="sng">
              <a:solidFill>
                <a:srgbClr val="D73325"/>
              </a:solidFill>
              <a:prstDash val="dash"/>
            </a:ln>
          </c:spPr>
          <c:marker>
            <c:symbol val="none"/>
          </c:marker>
          <c:cat>
            <c:strRef>
              <c:f>'Graphiques Mémoire'!$A$23:$A$28</c:f>
            </c:strRef>
          </c:cat>
          <c:val>
            <c:numRef>
              <c:f>'Graphiques Mémoire'!$F$23:$F$28</c:f>
              <c:numCache/>
            </c:numRef>
          </c:val>
          <c:smooth val="0"/>
        </c:ser>
        <c:axId val="1078152423"/>
        <c:axId val="1848754991"/>
      </c:lineChart>
      <c:catAx>
        <c:axId val="1078152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Période de retour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48754991"/>
      </c:catAx>
      <c:valAx>
        <c:axId val="1848754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Volume à stocker / Capacité (m³)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815242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Débit de Fuite - Volumes à Stocker vs Capacité Bassin (Excel)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'Graphiques Mémoire'!$B$31</c:f>
            </c:strRef>
          </c:tx>
          <c:spPr>
            <a:ln cmpd="sng">
              <a:solidFill>
                <a:srgbClr val="337ED7"/>
              </a:solidFill>
            </a:ln>
          </c:spPr>
          <c:marker>
            <c:symbol val="none"/>
          </c:marker>
          <c:cat>
            <c:strRef>
              <c:f>'Graphiques Mémoire'!$A$32:$A$37</c:f>
            </c:strRef>
          </c:cat>
          <c:val>
            <c:numRef>
              <c:f>'Graphiques Mémoire'!$B$32:$B$37</c:f>
              <c:numCache/>
            </c:numRef>
          </c:val>
          <c:smooth val="0"/>
        </c:ser>
        <c:ser>
          <c:idx val="1"/>
          <c:order val="1"/>
          <c:tx>
            <c:strRef>
              <c:f>'Graphiques Mémoire'!$C$31</c:f>
            </c:strRef>
          </c:tx>
          <c:spPr>
            <a:ln cmpd="sng">
              <a:solidFill>
                <a:srgbClr val="25AC8B"/>
              </a:solidFill>
            </a:ln>
          </c:spPr>
          <c:marker>
            <c:symbol val="none"/>
          </c:marker>
          <c:cat>
            <c:strRef>
              <c:f>'Graphiques Mémoire'!$A$32:$A$37</c:f>
            </c:strRef>
          </c:cat>
          <c:val>
            <c:numRef>
              <c:f>'Graphiques Mémoire'!$C$32:$C$37</c:f>
              <c:numCache/>
            </c:numRef>
          </c:val>
          <c:smooth val="0"/>
        </c:ser>
        <c:ser>
          <c:idx val="2"/>
          <c:order val="2"/>
          <c:tx>
            <c:strRef>
              <c:f>'Graphiques Mémoire'!$D$31</c:f>
            </c:strRef>
          </c:tx>
          <c:spPr>
            <a:ln cmpd="sng">
              <a:solidFill>
                <a:srgbClr val="E47133"/>
              </a:solidFill>
            </a:ln>
          </c:spPr>
          <c:marker>
            <c:symbol val="none"/>
          </c:marker>
          <c:cat>
            <c:strRef>
              <c:f>'Graphiques Mémoire'!$A$32:$A$37</c:f>
            </c:strRef>
          </c:cat>
          <c:val>
            <c:numRef>
              <c:f>'Graphiques Mémoire'!$D$32:$D$37</c:f>
              <c:numCache/>
            </c:numRef>
          </c:val>
          <c:smooth val="0"/>
        </c:ser>
        <c:ser>
          <c:idx val="3"/>
          <c:order val="3"/>
          <c:tx>
            <c:strRef>
              <c:f>'Graphiques Mémoire'!$E$31</c:f>
            </c:strRef>
          </c:tx>
          <c:spPr>
            <a:ln cmpd="sng">
              <a:solidFill>
                <a:srgbClr val="8C44AA"/>
              </a:solidFill>
            </a:ln>
          </c:spPr>
          <c:marker>
            <c:symbol val="none"/>
          </c:marker>
          <c:cat>
            <c:strRef>
              <c:f>'Graphiques Mémoire'!$A$32:$A$37</c:f>
            </c:strRef>
          </c:cat>
          <c:val>
            <c:numRef>
              <c:f>'Graphiques Mémoire'!$E$32:$E$37</c:f>
              <c:numCache/>
            </c:numRef>
          </c:val>
          <c:smooth val="0"/>
        </c:ser>
        <c:ser>
          <c:idx val="4"/>
          <c:order val="4"/>
          <c:tx>
            <c:strRef>
              <c:f>'Graphiques Mémoire'!$F$31</c:f>
            </c:strRef>
          </c:tx>
          <c:spPr>
            <a:ln cmpd="sng">
              <a:solidFill>
                <a:srgbClr val="D73325"/>
              </a:solidFill>
              <a:prstDash val="dash"/>
            </a:ln>
          </c:spPr>
          <c:marker>
            <c:symbol val="none"/>
          </c:marker>
          <c:cat>
            <c:strRef>
              <c:f>'Graphiques Mémoire'!$A$32:$A$37</c:f>
            </c:strRef>
          </c:cat>
          <c:val>
            <c:numRef>
              <c:f>'Graphiques Mémoire'!$F$32:$F$37</c:f>
              <c:numCache/>
            </c:numRef>
          </c:val>
          <c:smooth val="0"/>
        </c:ser>
        <c:axId val="982183203"/>
        <c:axId val="1965664779"/>
      </c:lineChart>
      <c:catAx>
        <c:axId val="9821832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Période de retour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65664779"/>
      </c:catAx>
      <c:valAx>
        <c:axId val="19656647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Volume à stocker / Capacité (m³)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8218320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Risque de Débordement du Bassin (Capacité Critique 1 500 m³) Calcul Excel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'Graphiques Mémoire'!$H$22</c:f>
            </c:strRef>
          </c:tx>
          <c:spPr>
            <a:solidFill>
              <a:srgbClr val="1C72E8">
                <a:alpha val="30000"/>
              </a:srgbClr>
            </a:solidFill>
            <a:ln cmpd="sng">
              <a:solidFill>
                <a:srgbClr val="1C72E8"/>
              </a:solidFill>
            </a:ln>
          </c:spPr>
          <c:cat>
            <c:strRef>
              <c:f>'Graphiques Mémoire'!$G$23:$G$28</c:f>
            </c:strRef>
          </c:cat>
          <c:val>
            <c:numRef>
              <c:f>'Graphiques Mémoire'!$H$23:$H$28</c:f>
              <c:numCache/>
            </c:numRef>
          </c:val>
        </c:ser>
        <c:ser>
          <c:idx val="1"/>
          <c:order val="1"/>
          <c:tx>
            <c:strRef>
              <c:f>'Graphiques Mémoire'!$I$22</c:f>
            </c:strRef>
          </c:tx>
          <c:spPr>
            <a:solidFill>
              <a:srgbClr val="D83026">
                <a:alpha val="30000"/>
              </a:srgbClr>
            </a:solidFill>
            <a:ln cmpd="sng">
              <a:solidFill>
                <a:srgbClr val="D83026"/>
              </a:solidFill>
            </a:ln>
          </c:spPr>
          <c:cat>
            <c:strRef>
              <c:f>'Graphiques Mémoire'!$G$23:$G$28</c:f>
            </c:strRef>
          </c:cat>
          <c:val>
            <c:numRef>
              <c:f>'Graphiques Mémoire'!$I$23:$I$28</c:f>
              <c:numCache/>
            </c:numRef>
          </c:val>
        </c:ser>
        <c:axId val="1216966167"/>
        <c:axId val="811707495"/>
      </c:areaChart>
      <c:lineChart>
        <c:varyColors val="0"/>
        <c:ser>
          <c:idx val="2"/>
          <c:order val="2"/>
          <c:tx>
            <c:strRef>
              <c:f>'Graphiques Mémoire'!$J$22</c:f>
            </c:strRef>
          </c:tx>
          <c:spPr>
            <a:ln cmpd="sng">
              <a:solidFill>
                <a:srgbClr val="262626"/>
              </a:solidFill>
              <a:prstDash val="dash"/>
            </a:ln>
          </c:spPr>
          <c:marker>
            <c:symbol val="none"/>
          </c:marker>
          <c:cat>
            <c:strRef>
              <c:f>'Graphiques Mémoire'!$G$23:$G$28</c:f>
            </c:strRef>
          </c:cat>
          <c:val>
            <c:numRef>
              <c:f>'Graphiques Mémoire'!$J$23:$J$28</c:f>
              <c:numCache/>
            </c:numRef>
          </c:val>
          <c:smooth val="0"/>
        </c:ser>
        <c:axId val="1216966167"/>
        <c:axId val="811707495"/>
      </c:lineChart>
      <c:catAx>
        <c:axId val="1216966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Période de retour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11707495"/>
      </c:catAx>
      <c:valAx>
        <c:axId val="811707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Volume ruisselé / Capacité (m³)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696616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Analyse de Vulnérabilité par l'OCS : Volumes Ruisselés (m³)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'Graphiques Mémoire'!$H$31</c:f>
            </c:strRef>
          </c:tx>
          <c:spPr>
            <a:solidFill>
              <a:srgbClr val="4F93CC"/>
            </a:solidFill>
            <a:ln cmpd="sng">
              <a:noFill/>
            </a:ln>
          </c:spPr>
          <c:invertIfNegative val="0"/>
          <c:cat>
            <c:strRef>
              <c:f>'Graphiques Mémoire'!$G$32:$G$36</c:f>
            </c:strRef>
          </c:cat>
          <c:val>
            <c:numRef>
              <c:f>'Graphiques Mémoire'!$H$32:$H$36</c:f>
              <c:numCache/>
            </c:numRef>
          </c:val>
        </c:ser>
        <c:ser>
          <c:idx val="1"/>
          <c:order val="1"/>
          <c:tx>
            <c:strRef>
              <c:f>'Graphiques Mémoire'!$I$31</c:f>
            </c:strRef>
          </c:tx>
          <c:spPr>
            <a:solidFill>
              <a:srgbClr val="26AA8C"/>
            </a:solidFill>
            <a:ln cmpd="sng">
              <a:noFill/>
            </a:ln>
          </c:spPr>
          <c:invertIfNegative val="0"/>
          <c:cat>
            <c:strRef>
              <c:f>'Graphiques Mémoire'!$G$32:$G$36</c:f>
            </c:strRef>
          </c:cat>
          <c:val>
            <c:numRef>
              <c:f>'Graphiques Mémoire'!$I$32:$I$36</c:f>
              <c:numCache/>
            </c:numRef>
          </c:val>
        </c:ser>
        <c:ser>
          <c:idx val="2"/>
          <c:order val="2"/>
          <c:tx>
            <c:strRef>
              <c:f>'Graphiques Mémoire'!$J$31</c:f>
            </c:strRef>
          </c:tx>
          <c:spPr>
            <a:solidFill>
              <a:srgbClr val="F2B23F"/>
            </a:solidFill>
            <a:ln cmpd="sng">
              <a:noFill/>
            </a:ln>
          </c:spPr>
          <c:invertIfNegative val="0"/>
          <c:cat>
            <c:strRef>
              <c:f>'Graphiques Mémoire'!$G$32:$G$36</c:f>
            </c:strRef>
          </c:cat>
          <c:val>
            <c:numRef>
              <c:f>'Graphiques Mémoire'!$J$32:$J$36</c:f>
              <c:numCache/>
            </c:numRef>
          </c:val>
        </c:ser>
        <c:ser>
          <c:idx val="3"/>
          <c:order val="3"/>
          <c:tx>
            <c:strRef>
              <c:f>'Graphiques Mémoire'!$K$31</c:f>
            </c:strRef>
          </c:tx>
          <c:spPr>
            <a:solidFill>
              <a:srgbClr val="E27033"/>
            </a:solidFill>
            <a:ln cmpd="sng">
              <a:noFill/>
            </a:ln>
          </c:spPr>
          <c:invertIfNegative val="0"/>
          <c:cat>
            <c:strRef>
              <c:f>'Graphiques Mémoire'!$G$32:$G$36</c:f>
            </c:strRef>
          </c:cat>
          <c:val>
            <c:numRef>
              <c:f>'Graphiques Mémoire'!$K$32:$K$36</c:f>
              <c:numCache/>
            </c:numRef>
          </c:val>
        </c:ser>
        <c:ser>
          <c:idx val="4"/>
          <c:order val="4"/>
          <c:tx>
            <c:strRef>
              <c:f>'Graphiques Mémoire'!$L$31</c:f>
            </c:strRef>
          </c:tx>
          <c:spPr>
            <a:solidFill>
              <a:srgbClr val="D83326"/>
            </a:solidFill>
            <a:ln cmpd="sng">
              <a:noFill/>
            </a:ln>
          </c:spPr>
          <c:invertIfNegative val="0"/>
          <c:cat>
            <c:strRef>
              <c:f>'Graphiques Mémoire'!$G$32:$G$36</c:f>
            </c:strRef>
          </c:cat>
          <c:val>
            <c:numRef>
              <c:f>'Graphiques Mémoire'!$L$32:$L$36</c:f>
              <c:numCache/>
            </c:numRef>
          </c:val>
        </c:ser>
        <c:ser>
          <c:idx val="5"/>
          <c:order val="5"/>
          <c:tx>
            <c:strRef>
              <c:f>'Graphiques Mémoire'!$M$31</c:f>
            </c:strRef>
          </c:tx>
          <c:spPr>
            <a:solidFill>
              <a:srgbClr val="8C268C"/>
            </a:solidFill>
            <a:ln cmpd="sng">
              <a:noFill/>
            </a:ln>
          </c:spPr>
          <c:invertIfNegative val="0"/>
          <c:cat>
            <c:strRef>
              <c:f>'Graphiques Mémoire'!$G$32:$G$36</c:f>
            </c:strRef>
          </c:cat>
          <c:val>
            <c:numRef>
              <c:f>'Graphiques Mémoire'!$M$32:$M$36</c:f>
              <c:numCache/>
            </c:numRef>
          </c:val>
        </c:ser>
        <c:axId val="554762167"/>
        <c:axId val="758910886"/>
      </c:barChart>
      <c:catAx>
        <c:axId val="554762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Type d'OCS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58910886"/>
      </c:catAx>
      <c:valAx>
        <c:axId val="7589108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Volume ruisselé (m³)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5476216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42</xdr:row>
      <xdr:rowOff>0</xdr:rowOff>
    </xdr:from>
    <xdr:ext cx="5619750" cy="3429000"/>
    <xdr:graphicFrame>
      <xdr:nvGraphicFramePr>
        <xdr:cNvPr id="1" name="Chart 1" title="Trajectoires Hydrologiques : Excel vs Modèle Fortran (AMC-II vs AMC-III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85725</xdr:colOff>
      <xdr:row>60</xdr:row>
      <xdr:rowOff>47625</xdr:rowOff>
    </xdr:from>
    <xdr:ext cx="6105525" cy="3429000"/>
    <xdr:graphicFrame>
      <xdr:nvGraphicFramePr>
        <xdr:cNvPr id="2" name="Chart 2" title="Risque de Débordement du Bassin (Capacité Critique 1 500 m³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219075</xdr:colOff>
      <xdr:row>98</xdr:row>
      <xdr:rowOff>47625</xdr:rowOff>
    </xdr:from>
    <xdr:ext cx="5619750" cy="3429000"/>
    <xdr:graphicFrame>
      <xdr:nvGraphicFramePr>
        <xdr:cNvPr id="3" name="Chart 3" title="Levier de l'Enherbement Viticole (SFN) sur le Ruissellement QP10 (m³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523875</xdr:colOff>
      <xdr:row>41</xdr:row>
      <xdr:rowOff>152400</xdr:rowOff>
    </xdr:from>
    <xdr:ext cx="5619750" cy="3429000"/>
    <xdr:graphicFrame>
      <xdr:nvGraphicFramePr>
        <xdr:cNvPr id="4" name="Chart 4" title="Débit de Fuite - Volumes à Stocker vs Capacité Bassin (Fortran avec infiltration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523875</xdr:colOff>
      <xdr:row>60</xdr:row>
      <xdr:rowOff>85725</xdr:rowOff>
    </xdr:from>
    <xdr:ext cx="5619750" cy="3429000"/>
    <xdr:graphicFrame>
      <xdr:nvGraphicFramePr>
        <xdr:cNvPr id="5" name="Chart 5" title="Débit de Fuite - Volumes à Stocker vs Capacité Bassin (Fortran sans infiltration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523875</xdr:colOff>
      <xdr:row>80</xdr:row>
      <xdr:rowOff>0</xdr:rowOff>
    </xdr:from>
    <xdr:ext cx="5619750" cy="3429000"/>
    <xdr:graphicFrame>
      <xdr:nvGraphicFramePr>
        <xdr:cNvPr id="6" name="Chart 6" title="Débit de Fuite - Volumes à Stocker vs Capacité Bassin (Excel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85725</xdr:colOff>
      <xdr:row>78</xdr:row>
      <xdr:rowOff>190500</xdr:rowOff>
    </xdr:from>
    <xdr:ext cx="6105525" cy="3429000"/>
    <xdr:graphicFrame>
      <xdr:nvGraphicFramePr>
        <xdr:cNvPr id="7" name="Chart 7" title="Risque de Débordement du Bassin (Capacité Critique 1 500 m³) - Calcul Exce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523875</xdr:colOff>
      <xdr:row>98</xdr:row>
      <xdr:rowOff>47625</xdr:rowOff>
    </xdr:from>
    <xdr:ext cx="5619750" cy="3429000"/>
    <xdr:graphicFrame>
      <xdr:nvGraphicFramePr>
        <xdr:cNvPr id="8" name="Chart 8" title="Analyse de Vulnérabilité par l'OCS : Volumes Ruisselés (m³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1.0"/>
    <col customWidth="1" min="6" max="6" width="29.43"/>
    <col customWidth="1" min="7" max="7" width="21.0"/>
    <col customWidth="1" min="8" max="26" width="8.86"/>
  </cols>
  <sheetData>
    <row r="1" ht="14.25" customHeight="1">
      <c r="A1" s="1" t="s">
        <v>0</v>
      </c>
    </row>
    <row r="2" ht="14.25" customHeight="1">
      <c r="A2" s="2" t="s">
        <v>4</v>
      </c>
    </row>
    <row r="3" ht="14.25" customHeight="1"/>
    <row r="4" ht="14.25" customHeight="1">
      <c r="A4" s="4" t="s">
        <v>8</v>
      </c>
    </row>
    <row r="5" ht="24.75" customHeight="1">
      <c r="A5" s="7" t="s">
        <v>13</v>
      </c>
      <c r="B5" s="7" t="s">
        <v>17</v>
      </c>
      <c r="C5" s="7" t="s">
        <v>18</v>
      </c>
      <c r="D5" s="7" t="s">
        <v>21</v>
      </c>
      <c r="E5" s="7" t="s">
        <v>24</v>
      </c>
      <c r="F5" s="7" t="s">
        <v>28</v>
      </c>
      <c r="G5" s="7" t="s">
        <v>32</v>
      </c>
    </row>
    <row r="6" ht="14.25" customHeight="1">
      <c r="A6" s="10" t="s">
        <v>38</v>
      </c>
      <c r="B6" s="12">
        <v>38.7</v>
      </c>
      <c r="C6" s="12">
        <v>180.9</v>
      </c>
      <c r="D6" s="12">
        <f t="shared" ref="D6:D11" si="1">C6-B6</f>
        <v>142.2</v>
      </c>
      <c r="E6" s="21">
        <f t="shared" ref="E6:E11" si="2">(C6-B6)/C6</f>
        <v>0.7860696517</v>
      </c>
      <c r="F6" s="25" t="s">
        <v>51</v>
      </c>
      <c r="G6" s="30">
        <f t="shared" ref="G6:G11" si="3">1500-B6</f>
        <v>1461.3</v>
      </c>
    </row>
    <row r="7" ht="14.25" customHeight="1">
      <c r="A7" s="27" t="s">
        <v>52</v>
      </c>
      <c r="B7" s="29">
        <v>95.2</v>
      </c>
      <c r="C7" s="29">
        <v>278.4</v>
      </c>
      <c r="D7" s="29">
        <f t="shared" si="1"/>
        <v>183.2</v>
      </c>
      <c r="E7" s="34">
        <f t="shared" si="2"/>
        <v>0.658045977</v>
      </c>
      <c r="F7" s="25" t="s">
        <v>51</v>
      </c>
      <c r="G7" s="37">
        <f t="shared" si="3"/>
        <v>1404.8</v>
      </c>
    </row>
    <row r="8" ht="14.25" customHeight="1">
      <c r="A8" s="10" t="s">
        <v>53</v>
      </c>
      <c r="B8" s="12">
        <v>166.9</v>
      </c>
      <c r="C8" s="12">
        <v>388.9</v>
      </c>
      <c r="D8" s="12">
        <f t="shared" si="1"/>
        <v>222</v>
      </c>
      <c r="E8" s="21">
        <f t="shared" si="2"/>
        <v>0.5708408331</v>
      </c>
      <c r="F8" s="25" t="s">
        <v>51</v>
      </c>
      <c r="G8" s="30">
        <f t="shared" si="3"/>
        <v>1333.1</v>
      </c>
    </row>
    <row r="9" ht="14.25" customHeight="1">
      <c r="A9" s="27" t="s">
        <v>57</v>
      </c>
      <c r="B9" s="29">
        <v>262.2</v>
      </c>
      <c r="C9" s="29">
        <v>546.3</v>
      </c>
      <c r="D9" s="29">
        <f t="shared" si="1"/>
        <v>284.1</v>
      </c>
      <c r="E9" s="34">
        <f t="shared" si="2"/>
        <v>0.5200439319</v>
      </c>
      <c r="F9" s="25" t="s">
        <v>51</v>
      </c>
      <c r="G9" s="37">
        <f t="shared" si="3"/>
        <v>1237.8</v>
      </c>
    </row>
    <row r="10" ht="14.25" customHeight="1">
      <c r="A10" s="10" t="s">
        <v>58</v>
      </c>
      <c r="B10" s="12">
        <v>438.6</v>
      </c>
      <c r="C10" s="12">
        <v>825.2</v>
      </c>
      <c r="D10" s="12">
        <f t="shared" si="1"/>
        <v>386.6</v>
      </c>
      <c r="E10" s="21">
        <f t="shared" si="2"/>
        <v>0.4684924867</v>
      </c>
      <c r="F10" s="25" t="s">
        <v>51</v>
      </c>
      <c r="G10" s="30">
        <f t="shared" si="3"/>
        <v>1061.4</v>
      </c>
    </row>
    <row r="11" ht="14.25" customHeight="1">
      <c r="A11" s="27" t="s">
        <v>59</v>
      </c>
      <c r="B11" s="29">
        <v>614.3</v>
      </c>
      <c r="C11" s="29">
        <v>1078.8</v>
      </c>
      <c r="D11" s="29">
        <f t="shared" si="1"/>
        <v>464.5</v>
      </c>
      <c r="E11" s="34">
        <f t="shared" si="2"/>
        <v>0.4305710048</v>
      </c>
      <c r="F11" s="25" t="s">
        <v>51</v>
      </c>
      <c r="G11" s="37">
        <f t="shared" si="3"/>
        <v>885.7</v>
      </c>
    </row>
    <row r="12" ht="14.25" customHeight="1"/>
    <row r="13" ht="14.25" customHeight="1">
      <c r="A13" s="4" t="s">
        <v>63</v>
      </c>
    </row>
    <row r="14" ht="24.75" customHeight="1">
      <c r="A14" s="7" t="s">
        <v>13</v>
      </c>
      <c r="B14" s="7" t="s">
        <v>17</v>
      </c>
      <c r="C14" s="7" t="s">
        <v>18</v>
      </c>
      <c r="D14" s="7" t="s">
        <v>21</v>
      </c>
      <c r="E14" s="7" t="s">
        <v>24</v>
      </c>
      <c r="F14" s="7" t="s">
        <v>28</v>
      </c>
      <c r="G14" s="7" t="s">
        <v>32</v>
      </c>
    </row>
    <row r="15" ht="14.25" customHeight="1">
      <c r="A15" s="27" t="s">
        <v>38</v>
      </c>
      <c r="B15" s="29">
        <v>226.0</v>
      </c>
      <c r="C15" s="29">
        <v>409.5</v>
      </c>
      <c r="D15" s="29">
        <f t="shared" ref="D15:D20" si="4">C15-B15</f>
        <v>183.5</v>
      </c>
      <c r="E15" s="34">
        <f t="shared" ref="E15:E20" si="5">(C15-B15)/C15</f>
        <v>0.4481074481</v>
      </c>
      <c r="F15" s="25" t="s">
        <v>51</v>
      </c>
      <c r="G15" s="32">
        <f t="shared" ref="G15:G20" si="6">1500-B15</f>
        <v>1274</v>
      </c>
    </row>
    <row r="16" ht="14.25" customHeight="1">
      <c r="A16" s="10" t="s">
        <v>52</v>
      </c>
      <c r="B16" s="12">
        <v>737.4</v>
      </c>
      <c r="C16" s="12">
        <v>943.3</v>
      </c>
      <c r="D16" s="12">
        <f t="shared" si="4"/>
        <v>205.9</v>
      </c>
      <c r="E16" s="21">
        <f t="shared" si="5"/>
        <v>0.2182762642</v>
      </c>
      <c r="F16" s="25" t="s">
        <v>51</v>
      </c>
      <c r="G16" s="19">
        <f t="shared" si="6"/>
        <v>762.6</v>
      </c>
    </row>
    <row r="17" ht="14.25" customHeight="1">
      <c r="A17" s="27" t="s">
        <v>53</v>
      </c>
      <c r="B17" s="29">
        <v>1230.0</v>
      </c>
      <c r="C17" s="29">
        <v>1399.3</v>
      </c>
      <c r="D17" s="29">
        <f t="shared" si="4"/>
        <v>169.3</v>
      </c>
      <c r="E17" s="34">
        <f t="shared" si="5"/>
        <v>0.120989066</v>
      </c>
      <c r="F17" s="25" t="s">
        <v>51</v>
      </c>
      <c r="G17" s="32">
        <f t="shared" si="6"/>
        <v>270</v>
      </c>
    </row>
    <row r="18" ht="14.25" customHeight="1">
      <c r="A18" s="10" t="s">
        <v>57</v>
      </c>
      <c r="B18" s="12">
        <v>1785.6</v>
      </c>
      <c r="C18" s="12">
        <v>1892.7</v>
      </c>
      <c r="D18" s="12">
        <f t="shared" si="4"/>
        <v>107.1</v>
      </c>
      <c r="E18" s="21">
        <f t="shared" si="5"/>
        <v>0.05658582977</v>
      </c>
      <c r="F18" s="49" t="s">
        <v>68</v>
      </c>
      <c r="G18" s="50">
        <f t="shared" si="6"/>
        <v>-285.6</v>
      </c>
    </row>
    <row r="19" ht="14.25" customHeight="1">
      <c r="A19" s="27" t="s">
        <v>58</v>
      </c>
      <c r="B19" s="29">
        <v>2591.7</v>
      </c>
      <c r="C19" s="29">
        <v>2624.0</v>
      </c>
      <c r="D19" s="29">
        <f t="shared" si="4"/>
        <v>32.3</v>
      </c>
      <c r="E19" s="34">
        <f t="shared" si="5"/>
        <v>0.01230945122</v>
      </c>
      <c r="F19" s="49" t="s">
        <v>69</v>
      </c>
      <c r="G19" s="52">
        <f t="shared" si="6"/>
        <v>-1091.7</v>
      </c>
    </row>
    <row r="20" ht="14.25" customHeight="1">
      <c r="A20" s="10" t="s">
        <v>59</v>
      </c>
      <c r="B20" s="12">
        <v>3191.5</v>
      </c>
      <c r="C20" s="12">
        <v>3213.0</v>
      </c>
      <c r="D20" s="12">
        <f t="shared" si="4"/>
        <v>21.5</v>
      </c>
      <c r="E20" s="21">
        <f t="shared" si="5"/>
        <v>0.006691565515</v>
      </c>
      <c r="F20" s="49" t="s">
        <v>70</v>
      </c>
      <c r="G20" s="50">
        <f t="shared" si="6"/>
        <v>-1691.5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4" width="12.0"/>
    <col customWidth="1" min="5" max="5" width="18.0"/>
    <col customWidth="1" min="6" max="6" width="22.0"/>
    <col customWidth="1" min="7" max="7" width="9.71"/>
    <col customWidth="1" min="8" max="8" width="18.0"/>
    <col customWidth="1" min="9" max="11" width="12.0"/>
    <col customWidth="1" min="12" max="12" width="18.0"/>
    <col customWidth="1" min="13" max="13" width="24.0"/>
    <col customWidth="1" min="14" max="26" width="8.86"/>
  </cols>
  <sheetData>
    <row r="1" ht="14.25" customHeight="1">
      <c r="A1" s="1" t="s">
        <v>1</v>
      </c>
    </row>
    <row r="2" ht="14.25" customHeight="1">
      <c r="A2" s="2" t="s">
        <v>7</v>
      </c>
    </row>
    <row r="3" ht="14.25" customHeight="1"/>
    <row r="4" ht="14.25" customHeight="1">
      <c r="A4" s="5" t="s">
        <v>10</v>
      </c>
      <c r="H4" s="6" t="s">
        <v>14</v>
      </c>
    </row>
    <row r="5" ht="14.25" customHeight="1"/>
    <row r="6" ht="14.25" customHeight="1">
      <c r="A6" s="9" t="s">
        <v>16</v>
      </c>
      <c r="B6" s="9" t="s">
        <v>26</v>
      </c>
      <c r="C6" s="9" t="s">
        <v>31</v>
      </c>
      <c r="D6" s="9" t="s">
        <v>34</v>
      </c>
      <c r="E6" s="9" t="s">
        <v>37</v>
      </c>
      <c r="F6" s="9" t="s">
        <v>35</v>
      </c>
      <c r="H6" s="11" t="s">
        <v>16</v>
      </c>
      <c r="I6" s="11" t="s">
        <v>26</v>
      </c>
      <c r="J6" s="11" t="s">
        <v>31</v>
      </c>
      <c r="K6" s="11" t="s">
        <v>34</v>
      </c>
      <c r="L6" s="11" t="s">
        <v>37</v>
      </c>
      <c r="M6" s="11" t="s">
        <v>35</v>
      </c>
    </row>
    <row r="7" ht="14.25" customHeight="1">
      <c r="A7" s="14" t="s">
        <v>45</v>
      </c>
      <c r="B7" s="16">
        <v>33.46</v>
      </c>
      <c r="C7" s="16">
        <v>52.14</v>
      </c>
      <c r="D7" s="16">
        <v>11.63</v>
      </c>
      <c r="E7" s="18"/>
      <c r="F7" s="18"/>
      <c r="H7" s="14" t="s">
        <v>45</v>
      </c>
      <c r="I7" s="16">
        <v>33.46</v>
      </c>
      <c r="J7" s="16">
        <v>52.14</v>
      </c>
      <c r="K7" s="16">
        <v>11.63</v>
      </c>
      <c r="L7" s="18"/>
      <c r="M7" s="18"/>
    </row>
    <row r="8" ht="14.25" customHeight="1">
      <c r="A8" s="14" t="s">
        <v>47</v>
      </c>
      <c r="B8" s="16">
        <v>0.0</v>
      </c>
      <c r="C8" s="16">
        <v>0.0</v>
      </c>
      <c r="D8" s="16">
        <v>0.0</v>
      </c>
      <c r="E8" s="18"/>
      <c r="F8" s="18"/>
      <c r="H8" s="14" t="s">
        <v>47</v>
      </c>
      <c r="I8" s="16">
        <v>0.0</v>
      </c>
      <c r="J8" s="16">
        <v>0.0</v>
      </c>
      <c r="K8" s="16">
        <v>0.0</v>
      </c>
      <c r="L8" s="18"/>
      <c r="M8" s="18"/>
    </row>
    <row r="9" ht="14.25" customHeight="1">
      <c r="A9" s="14" t="s">
        <v>48</v>
      </c>
      <c r="B9" s="16">
        <v>0.0</v>
      </c>
      <c r="C9" s="16">
        <v>0.0</v>
      </c>
      <c r="D9" s="16">
        <v>0.0</v>
      </c>
      <c r="E9" s="18"/>
      <c r="F9" s="18"/>
      <c r="H9" s="14" t="s">
        <v>48</v>
      </c>
      <c r="I9" s="16">
        <v>0.0</v>
      </c>
      <c r="J9" s="16">
        <v>0.0</v>
      </c>
      <c r="K9" s="16">
        <v>0.0</v>
      </c>
      <c r="L9" s="18"/>
      <c r="M9" s="18"/>
    </row>
    <row r="10" ht="14.25" customHeight="1">
      <c r="A10" s="14" t="s">
        <v>49</v>
      </c>
      <c r="B10" s="16">
        <v>0.0</v>
      </c>
      <c r="C10" s="16">
        <v>0.0</v>
      </c>
      <c r="D10" s="16">
        <v>0.01</v>
      </c>
      <c r="E10" s="18"/>
      <c r="F10" s="18"/>
      <c r="H10" s="14" t="s">
        <v>49</v>
      </c>
      <c r="I10" s="16">
        <v>1.28</v>
      </c>
      <c r="J10" s="16">
        <v>147.89</v>
      </c>
      <c r="K10" s="16">
        <v>88.24</v>
      </c>
      <c r="L10" s="18"/>
      <c r="M10" s="18"/>
    </row>
    <row r="11" ht="14.25" customHeight="1">
      <c r="A11" s="14" t="s">
        <v>50</v>
      </c>
      <c r="B11" s="16">
        <v>0.0</v>
      </c>
      <c r="C11" s="16">
        <v>68.08</v>
      </c>
      <c r="D11" s="16">
        <v>15.7</v>
      </c>
      <c r="E11" s="28">
        <f>SUM(B7:D11)</f>
        <v>181.02</v>
      </c>
      <c r="F11" s="31">
        <v>0.025</v>
      </c>
      <c r="H11" s="14" t="s">
        <v>50</v>
      </c>
      <c r="I11" s="16">
        <v>0.0</v>
      </c>
      <c r="J11" s="16">
        <v>68.08</v>
      </c>
      <c r="K11" s="16">
        <v>15.7</v>
      </c>
      <c r="L11" s="36">
        <f>SUM(I7:K11)</f>
        <v>418.42</v>
      </c>
      <c r="M11" s="38">
        <v>0.05769999999999999</v>
      </c>
    </row>
    <row r="12" ht="14.25" customHeight="1"/>
    <row r="13" ht="14.25" customHeight="1"/>
    <row r="14" ht="14.25" customHeight="1">
      <c r="A14" s="9" t="s">
        <v>55</v>
      </c>
      <c r="B14" s="9" t="s">
        <v>26</v>
      </c>
      <c r="C14" s="9" t="s">
        <v>31</v>
      </c>
      <c r="D14" s="9" t="s">
        <v>34</v>
      </c>
      <c r="E14" s="9" t="s">
        <v>37</v>
      </c>
      <c r="F14" s="9" t="s">
        <v>35</v>
      </c>
      <c r="H14" s="11" t="s">
        <v>55</v>
      </c>
      <c r="I14" s="11" t="s">
        <v>26</v>
      </c>
      <c r="J14" s="11" t="s">
        <v>31</v>
      </c>
      <c r="K14" s="11" t="s">
        <v>34</v>
      </c>
      <c r="L14" s="11" t="s">
        <v>37</v>
      </c>
      <c r="M14" s="11" t="s">
        <v>35</v>
      </c>
    </row>
    <row r="15" ht="14.25" customHeight="1">
      <c r="A15" s="14" t="s">
        <v>45</v>
      </c>
      <c r="B15" s="16">
        <v>47.97</v>
      </c>
      <c r="C15" s="16">
        <v>74.75</v>
      </c>
      <c r="D15" s="16">
        <v>16.67</v>
      </c>
      <c r="E15" s="18"/>
      <c r="F15" s="18"/>
      <c r="H15" s="14" t="s">
        <v>45</v>
      </c>
      <c r="I15" s="16">
        <v>47.97</v>
      </c>
      <c r="J15" s="16">
        <v>74.75</v>
      </c>
      <c r="K15" s="16">
        <v>16.67</v>
      </c>
      <c r="L15" s="18"/>
      <c r="M15" s="18"/>
    </row>
    <row r="16" ht="14.25" customHeight="1">
      <c r="A16" s="14" t="s">
        <v>47</v>
      </c>
      <c r="B16" s="16">
        <v>0.0</v>
      </c>
      <c r="C16" s="16">
        <v>0.0</v>
      </c>
      <c r="D16" s="16">
        <v>0.0</v>
      </c>
      <c r="E16" s="18"/>
      <c r="F16" s="18"/>
      <c r="H16" s="14" t="s">
        <v>47</v>
      </c>
      <c r="I16" s="16">
        <v>0.0</v>
      </c>
      <c r="J16" s="16">
        <v>0.0</v>
      </c>
      <c r="K16" s="16">
        <v>0.0</v>
      </c>
      <c r="L16" s="18"/>
      <c r="M16" s="18"/>
    </row>
    <row r="17" ht="14.25" customHeight="1">
      <c r="A17" s="14" t="s">
        <v>48</v>
      </c>
      <c r="B17" s="16">
        <v>0.0</v>
      </c>
      <c r="C17" s="16">
        <v>0.0</v>
      </c>
      <c r="D17" s="16">
        <v>0.0</v>
      </c>
      <c r="E17" s="18"/>
      <c r="F17" s="18"/>
      <c r="H17" s="14" t="s">
        <v>48</v>
      </c>
      <c r="I17" s="16">
        <v>0.0</v>
      </c>
      <c r="J17" s="16">
        <v>0.0</v>
      </c>
      <c r="K17" s="16">
        <v>0.0</v>
      </c>
      <c r="L17" s="18"/>
      <c r="M17" s="18"/>
    </row>
    <row r="18" ht="14.25" customHeight="1">
      <c r="A18" s="14" t="s">
        <v>49</v>
      </c>
      <c r="B18" s="16">
        <v>0.0</v>
      </c>
      <c r="C18" s="16">
        <v>0.15</v>
      </c>
      <c r="D18" s="16">
        <v>19.13</v>
      </c>
      <c r="E18" s="18"/>
      <c r="F18" s="18"/>
      <c r="H18" s="14" t="s">
        <v>49</v>
      </c>
      <c r="I18" s="16">
        <v>21.24</v>
      </c>
      <c r="J18" s="16">
        <v>488.59</v>
      </c>
      <c r="K18" s="16">
        <v>209.38</v>
      </c>
      <c r="L18" s="18"/>
      <c r="M18" s="18"/>
    </row>
    <row r="19" ht="14.25" customHeight="1">
      <c r="A19" s="14" t="s">
        <v>50</v>
      </c>
      <c r="B19" s="16">
        <v>0.0</v>
      </c>
      <c r="C19" s="16">
        <v>97.59</v>
      </c>
      <c r="D19" s="16">
        <v>22.51</v>
      </c>
      <c r="E19" s="28">
        <f>SUM(B15:D19)</f>
        <v>278.77</v>
      </c>
      <c r="F19" s="31">
        <v>0.0282</v>
      </c>
      <c r="H19" s="14" t="s">
        <v>50</v>
      </c>
      <c r="I19" s="16">
        <v>0.0</v>
      </c>
      <c r="J19" s="16">
        <v>97.59</v>
      </c>
      <c r="K19" s="16">
        <v>22.51</v>
      </c>
      <c r="L19" s="36">
        <f>SUM(I15:K19)</f>
        <v>978.7</v>
      </c>
      <c r="M19" s="38">
        <v>0.09880000000000001</v>
      </c>
    </row>
    <row r="20" ht="14.25" customHeight="1"/>
    <row r="21" ht="14.25" customHeight="1"/>
    <row r="22" ht="14.25" customHeight="1">
      <c r="A22" s="9" t="s">
        <v>64</v>
      </c>
      <c r="B22" s="9" t="s">
        <v>26</v>
      </c>
      <c r="C22" s="9" t="s">
        <v>31</v>
      </c>
      <c r="D22" s="9" t="s">
        <v>34</v>
      </c>
      <c r="E22" s="9" t="s">
        <v>37</v>
      </c>
      <c r="F22" s="9" t="s">
        <v>35</v>
      </c>
      <c r="H22" s="11" t="s">
        <v>64</v>
      </c>
      <c r="I22" s="11" t="s">
        <v>26</v>
      </c>
      <c r="J22" s="11" t="s">
        <v>31</v>
      </c>
      <c r="K22" s="11" t="s">
        <v>34</v>
      </c>
      <c r="L22" s="11" t="s">
        <v>37</v>
      </c>
      <c r="M22" s="11" t="s">
        <v>35</v>
      </c>
    </row>
    <row r="23" ht="14.25" customHeight="1">
      <c r="A23" s="14" t="s">
        <v>45</v>
      </c>
      <c r="B23" s="16">
        <v>57.62</v>
      </c>
      <c r="C23" s="16">
        <v>89.79</v>
      </c>
      <c r="D23" s="16">
        <v>20.03</v>
      </c>
      <c r="E23" s="18"/>
      <c r="F23" s="18"/>
      <c r="H23" s="14" t="s">
        <v>45</v>
      </c>
      <c r="I23" s="16">
        <v>57.62</v>
      </c>
      <c r="J23" s="16">
        <v>89.79</v>
      </c>
      <c r="K23" s="16">
        <v>20.03</v>
      </c>
      <c r="L23" s="18"/>
      <c r="M23" s="18"/>
    </row>
    <row r="24" ht="14.25" customHeight="1">
      <c r="A24" s="14" t="s">
        <v>47</v>
      </c>
      <c r="B24" s="16">
        <v>0.0</v>
      </c>
      <c r="C24" s="16">
        <v>0.0</v>
      </c>
      <c r="D24" s="16">
        <v>0.0</v>
      </c>
      <c r="E24" s="18"/>
      <c r="F24" s="18"/>
      <c r="H24" s="14" t="s">
        <v>47</v>
      </c>
      <c r="I24" s="16">
        <v>0.0</v>
      </c>
      <c r="J24" s="16">
        <v>0.0</v>
      </c>
      <c r="K24" s="16">
        <v>0.0</v>
      </c>
      <c r="L24" s="18"/>
      <c r="M24" s="18"/>
    </row>
    <row r="25" ht="14.25" customHeight="1">
      <c r="A25" s="14" t="s">
        <v>48</v>
      </c>
      <c r="B25" s="16">
        <v>0.0</v>
      </c>
      <c r="C25" s="16">
        <v>0.0</v>
      </c>
      <c r="D25" s="16">
        <v>0.0</v>
      </c>
      <c r="E25" s="18"/>
      <c r="F25" s="18"/>
      <c r="H25" s="14" t="s">
        <v>48</v>
      </c>
      <c r="I25" s="16">
        <v>0.0</v>
      </c>
      <c r="J25" s="16">
        <v>0.0</v>
      </c>
      <c r="K25" s="16">
        <v>0.0</v>
      </c>
      <c r="L25" s="18"/>
      <c r="M25" s="18"/>
    </row>
    <row r="26" ht="14.25" customHeight="1">
      <c r="A26" s="14" t="s">
        <v>49</v>
      </c>
      <c r="B26" s="16">
        <v>0.0</v>
      </c>
      <c r="C26" s="16">
        <v>30.31</v>
      </c>
      <c r="D26" s="16">
        <v>49.83</v>
      </c>
      <c r="E26" s="18"/>
      <c r="F26" s="18"/>
      <c r="H26" s="14" t="s">
        <v>49</v>
      </c>
      <c r="I26" s="16">
        <v>45.91</v>
      </c>
      <c r="J26" s="16">
        <v>794.96</v>
      </c>
      <c r="K26" s="16">
        <v>307.49</v>
      </c>
      <c r="L26" s="18"/>
      <c r="M26" s="18"/>
    </row>
    <row r="27" ht="14.25" customHeight="1">
      <c r="A27" s="14" t="s">
        <v>50</v>
      </c>
      <c r="B27" s="16">
        <v>0.0</v>
      </c>
      <c r="C27" s="16">
        <v>117.24</v>
      </c>
      <c r="D27" s="16">
        <v>27.04</v>
      </c>
      <c r="E27" s="28">
        <f>SUM(B23:D27)</f>
        <v>391.86</v>
      </c>
      <c r="F27" s="31">
        <v>0.0336</v>
      </c>
      <c r="H27" s="14" t="s">
        <v>50</v>
      </c>
      <c r="I27" s="16">
        <v>0.0</v>
      </c>
      <c r="J27" s="16">
        <v>117.24</v>
      </c>
      <c r="K27" s="16">
        <v>27.04</v>
      </c>
      <c r="L27" s="36">
        <f>SUM(I23:K27)</f>
        <v>1460.08</v>
      </c>
      <c r="M27" s="38">
        <v>0.1252</v>
      </c>
    </row>
    <row r="28" ht="14.25" customHeight="1"/>
    <row r="29" ht="14.25" customHeight="1"/>
    <row r="30" ht="14.25" customHeight="1">
      <c r="A30" s="9" t="s">
        <v>67</v>
      </c>
      <c r="B30" s="9" t="s">
        <v>26</v>
      </c>
      <c r="C30" s="9" t="s">
        <v>31</v>
      </c>
      <c r="D30" s="9" t="s">
        <v>34</v>
      </c>
      <c r="E30" s="9" t="s">
        <v>37</v>
      </c>
      <c r="F30" s="9" t="s">
        <v>35</v>
      </c>
      <c r="H30" s="11" t="s">
        <v>67</v>
      </c>
      <c r="I30" s="11" t="s">
        <v>26</v>
      </c>
      <c r="J30" s="11" t="s">
        <v>31</v>
      </c>
      <c r="K30" s="11" t="s">
        <v>34</v>
      </c>
      <c r="L30" s="11" t="s">
        <v>37</v>
      </c>
      <c r="M30" s="11" t="s">
        <v>35</v>
      </c>
    </row>
    <row r="31" ht="14.25" customHeight="1">
      <c r="A31" s="14" t="s">
        <v>45</v>
      </c>
      <c r="B31" s="16">
        <v>66.91</v>
      </c>
      <c r="C31" s="16">
        <v>104.26</v>
      </c>
      <c r="D31" s="16">
        <v>23.25</v>
      </c>
      <c r="E31" s="18"/>
      <c r="F31" s="18"/>
      <c r="H31" s="14" t="s">
        <v>45</v>
      </c>
      <c r="I31" s="16">
        <v>66.91</v>
      </c>
      <c r="J31" s="16">
        <v>104.26</v>
      </c>
      <c r="K31" s="16">
        <v>23.25</v>
      </c>
      <c r="L31" s="18"/>
      <c r="M31" s="18"/>
    </row>
    <row r="32" ht="14.25" customHeight="1">
      <c r="A32" s="14" t="s">
        <v>47</v>
      </c>
      <c r="B32" s="16">
        <v>0.0</v>
      </c>
      <c r="C32" s="16">
        <v>0.0</v>
      </c>
      <c r="D32" s="16">
        <v>0.0</v>
      </c>
      <c r="E32" s="18"/>
      <c r="F32" s="18"/>
      <c r="H32" s="14" t="s">
        <v>47</v>
      </c>
      <c r="I32" s="16">
        <v>0.0</v>
      </c>
      <c r="J32" s="16">
        <v>0.0</v>
      </c>
      <c r="K32" s="16">
        <v>0.0</v>
      </c>
      <c r="L32" s="18"/>
      <c r="M32" s="18"/>
    </row>
    <row r="33" ht="14.25" customHeight="1">
      <c r="A33" s="14" t="s">
        <v>48</v>
      </c>
      <c r="B33" s="16">
        <v>0.0</v>
      </c>
      <c r="C33" s="16">
        <v>0.0</v>
      </c>
      <c r="D33" s="16">
        <v>0.0</v>
      </c>
      <c r="E33" s="18"/>
      <c r="F33" s="18"/>
      <c r="H33" s="14" t="s">
        <v>48</v>
      </c>
      <c r="I33" s="16">
        <v>0.0</v>
      </c>
      <c r="J33" s="16">
        <v>0.0</v>
      </c>
      <c r="K33" s="16">
        <v>0.0</v>
      </c>
      <c r="L33" s="18"/>
      <c r="M33" s="18"/>
    </row>
    <row r="34" ht="14.25" customHeight="1">
      <c r="A34" s="14" t="s">
        <v>49</v>
      </c>
      <c r="B34" s="16">
        <v>0.0</v>
      </c>
      <c r="C34" s="16">
        <v>105.03</v>
      </c>
      <c r="D34" s="16">
        <v>90.81</v>
      </c>
      <c r="E34" s="18"/>
      <c r="F34" s="18"/>
      <c r="H34" s="14" t="s">
        <v>49</v>
      </c>
      <c r="I34" s="16">
        <v>76.82</v>
      </c>
      <c r="J34" s="16">
        <v>1137.31</v>
      </c>
      <c r="K34" s="16">
        <v>411.84</v>
      </c>
      <c r="L34" s="18"/>
      <c r="M34" s="18"/>
    </row>
    <row r="35" ht="14.25" customHeight="1">
      <c r="A35" s="14" t="s">
        <v>50</v>
      </c>
      <c r="B35" s="16">
        <v>0.0</v>
      </c>
      <c r="C35" s="16">
        <v>136.13</v>
      </c>
      <c r="D35" s="16">
        <v>31.4</v>
      </c>
      <c r="E35" s="28">
        <f>SUM(B31:D35)</f>
        <v>557.79</v>
      </c>
      <c r="F35" s="31">
        <v>0.0418</v>
      </c>
      <c r="H35" s="14" t="s">
        <v>50</v>
      </c>
      <c r="I35" s="16">
        <v>0.0</v>
      </c>
      <c r="J35" s="16">
        <v>136.13</v>
      </c>
      <c r="K35" s="16">
        <v>31.4</v>
      </c>
      <c r="L35" s="36">
        <f>SUM(I31:K35)</f>
        <v>1987.92</v>
      </c>
      <c r="M35" s="38">
        <v>0.149</v>
      </c>
    </row>
    <row r="36" ht="14.25" customHeight="1"/>
    <row r="37" ht="14.25" customHeight="1"/>
    <row r="38" ht="14.25" customHeight="1">
      <c r="A38" s="9" t="s">
        <v>79</v>
      </c>
      <c r="B38" s="9" t="s">
        <v>26</v>
      </c>
      <c r="C38" s="9" t="s">
        <v>31</v>
      </c>
      <c r="D38" s="9" t="s">
        <v>34</v>
      </c>
      <c r="E38" s="9" t="s">
        <v>37</v>
      </c>
      <c r="F38" s="9" t="s">
        <v>35</v>
      </c>
      <c r="H38" s="11" t="s">
        <v>79</v>
      </c>
      <c r="I38" s="11" t="s">
        <v>26</v>
      </c>
      <c r="J38" s="11" t="s">
        <v>31</v>
      </c>
      <c r="K38" s="11" t="s">
        <v>34</v>
      </c>
      <c r="L38" s="11" t="s">
        <v>37</v>
      </c>
      <c r="M38" s="11" t="s">
        <v>35</v>
      </c>
    </row>
    <row r="39" ht="14.25" customHeight="1">
      <c r="A39" s="14" t="s">
        <v>45</v>
      </c>
      <c r="B39" s="16">
        <v>78.94</v>
      </c>
      <c r="C39" s="16">
        <v>123.02</v>
      </c>
      <c r="D39" s="16">
        <v>27.44</v>
      </c>
      <c r="E39" s="18"/>
      <c r="F39" s="18"/>
      <c r="H39" s="14" t="s">
        <v>45</v>
      </c>
      <c r="I39" s="16">
        <v>78.94</v>
      </c>
      <c r="J39" s="16">
        <v>123.02</v>
      </c>
      <c r="K39" s="16">
        <v>27.44</v>
      </c>
      <c r="L39" s="18"/>
      <c r="M39" s="18"/>
    </row>
    <row r="40" ht="14.25" customHeight="1">
      <c r="A40" s="14" t="s">
        <v>47</v>
      </c>
      <c r="B40" s="16">
        <v>0.0</v>
      </c>
      <c r="C40" s="16">
        <v>0.0</v>
      </c>
      <c r="D40" s="16">
        <v>0.0</v>
      </c>
      <c r="E40" s="18"/>
      <c r="F40" s="18"/>
      <c r="H40" s="14" t="s">
        <v>47</v>
      </c>
      <c r="I40" s="16">
        <v>0.0</v>
      </c>
      <c r="J40" s="16">
        <v>0.0</v>
      </c>
      <c r="K40" s="16">
        <v>0.0</v>
      </c>
      <c r="L40" s="18"/>
      <c r="M40" s="18"/>
    </row>
    <row r="41" ht="14.25" customHeight="1">
      <c r="A41" s="14" t="s">
        <v>48</v>
      </c>
      <c r="B41" s="16">
        <v>0.0</v>
      </c>
      <c r="C41" s="16">
        <v>0.13</v>
      </c>
      <c r="D41" s="16">
        <v>1.17</v>
      </c>
      <c r="E41" s="18"/>
      <c r="F41" s="18"/>
      <c r="H41" s="14" t="s">
        <v>48</v>
      </c>
      <c r="I41" s="16">
        <v>0.0</v>
      </c>
      <c r="J41" s="16">
        <v>0.13</v>
      </c>
      <c r="K41" s="16">
        <v>1.17</v>
      </c>
      <c r="L41" s="18"/>
      <c r="M41" s="18"/>
    </row>
    <row r="42" ht="14.25" customHeight="1">
      <c r="A42" s="14" t="s">
        <v>49</v>
      </c>
      <c r="B42" s="16">
        <v>0.09</v>
      </c>
      <c r="C42" s="16">
        <v>261.49</v>
      </c>
      <c r="D42" s="16">
        <v>158.52</v>
      </c>
      <c r="E42" s="18"/>
      <c r="F42" s="18"/>
      <c r="H42" s="14" t="s">
        <v>49</v>
      </c>
      <c r="I42" s="16">
        <v>125.9</v>
      </c>
      <c r="J42" s="16">
        <v>1638.89</v>
      </c>
      <c r="K42" s="16">
        <v>558.81</v>
      </c>
      <c r="L42" s="18"/>
      <c r="M42" s="18"/>
    </row>
    <row r="43" ht="14.25" customHeight="1">
      <c r="A43" s="14" t="s">
        <v>50</v>
      </c>
      <c r="B43" s="16">
        <v>0.0</v>
      </c>
      <c r="C43" s="16">
        <v>160.62</v>
      </c>
      <c r="D43" s="16">
        <v>37.05</v>
      </c>
      <c r="E43" s="28">
        <f>SUM(B39:D43)</f>
        <v>848.47</v>
      </c>
      <c r="F43" s="31">
        <v>0.0546</v>
      </c>
      <c r="H43" s="14" t="s">
        <v>50</v>
      </c>
      <c r="I43" s="16">
        <v>0.0</v>
      </c>
      <c r="J43" s="16">
        <v>160.62</v>
      </c>
      <c r="K43" s="16">
        <v>37.05</v>
      </c>
      <c r="L43" s="36">
        <f>SUM(I39:K43)</f>
        <v>2751.97</v>
      </c>
      <c r="M43" s="38">
        <v>0.1773</v>
      </c>
    </row>
    <row r="44" ht="14.25" customHeight="1"/>
    <row r="45" ht="14.25" customHeight="1"/>
    <row r="46" ht="14.25" customHeight="1">
      <c r="A46" s="9" t="s">
        <v>85</v>
      </c>
      <c r="B46" s="9" t="s">
        <v>26</v>
      </c>
      <c r="C46" s="9" t="s">
        <v>31</v>
      </c>
      <c r="D46" s="9" t="s">
        <v>34</v>
      </c>
      <c r="E46" s="9" t="s">
        <v>37</v>
      </c>
      <c r="F46" s="9" t="s">
        <v>35</v>
      </c>
      <c r="H46" s="11" t="s">
        <v>85</v>
      </c>
      <c r="I46" s="11" t="s">
        <v>26</v>
      </c>
      <c r="J46" s="11" t="s">
        <v>31</v>
      </c>
      <c r="K46" s="11" t="s">
        <v>34</v>
      </c>
      <c r="L46" s="11" t="s">
        <v>37</v>
      </c>
      <c r="M46" s="11" t="s">
        <v>35</v>
      </c>
    </row>
    <row r="47" ht="14.25" customHeight="1">
      <c r="A47" s="14" t="s">
        <v>45</v>
      </c>
      <c r="B47" s="16">
        <v>87.98</v>
      </c>
      <c r="C47" s="16">
        <v>137.1</v>
      </c>
      <c r="D47" s="16">
        <v>30.58</v>
      </c>
      <c r="E47" s="18"/>
      <c r="F47" s="18"/>
      <c r="H47" s="14" t="s">
        <v>45</v>
      </c>
      <c r="I47" s="16">
        <v>87.98</v>
      </c>
      <c r="J47" s="16">
        <v>137.1</v>
      </c>
      <c r="K47" s="16">
        <v>30.58</v>
      </c>
      <c r="L47" s="18"/>
      <c r="M47" s="18"/>
    </row>
    <row r="48" ht="14.25" customHeight="1">
      <c r="A48" s="14" t="s">
        <v>47</v>
      </c>
      <c r="B48" s="16">
        <v>0.0</v>
      </c>
      <c r="C48" s="16">
        <v>0.0</v>
      </c>
      <c r="D48" s="16">
        <v>0.0</v>
      </c>
      <c r="E48" s="18"/>
      <c r="F48" s="18"/>
      <c r="H48" s="14" t="s">
        <v>47</v>
      </c>
      <c r="I48" s="16">
        <v>0.0</v>
      </c>
      <c r="J48" s="16">
        <v>0.0</v>
      </c>
      <c r="K48" s="16">
        <v>0.06</v>
      </c>
      <c r="L48" s="18"/>
      <c r="M48" s="18"/>
    </row>
    <row r="49" ht="14.25" customHeight="1">
      <c r="A49" s="14" t="s">
        <v>48</v>
      </c>
      <c r="B49" s="16">
        <v>0.0</v>
      </c>
      <c r="C49" s="16">
        <v>4.4</v>
      </c>
      <c r="D49" s="16">
        <v>3.56</v>
      </c>
      <c r="E49" s="18"/>
      <c r="F49" s="18"/>
      <c r="H49" s="14" t="s">
        <v>48</v>
      </c>
      <c r="I49" s="16">
        <v>0.0</v>
      </c>
      <c r="J49" s="16">
        <v>4.4</v>
      </c>
      <c r="K49" s="16">
        <v>3.56</v>
      </c>
      <c r="L49" s="18"/>
      <c r="M49" s="18"/>
    </row>
    <row r="50" ht="14.25" customHeight="1">
      <c r="A50" s="14" t="s">
        <v>49</v>
      </c>
      <c r="B50" s="16">
        <v>3.1</v>
      </c>
      <c r="C50" s="16">
        <v>418.59</v>
      </c>
      <c r="D50" s="16">
        <v>218.8</v>
      </c>
      <c r="E50" s="18"/>
      <c r="F50" s="18"/>
      <c r="H50" s="14" t="s">
        <v>49</v>
      </c>
      <c r="I50" s="16">
        <v>168.54</v>
      </c>
      <c r="J50" s="16">
        <v>2051.09</v>
      </c>
      <c r="K50" s="16">
        <v>676.1</v>
      </c>
      <c r="L50" s="18"/>
      <c r="M50" s="18"/>
    </row>
    <row r="51" ht="14.25" customHeight="1">
      <c r="A51" s="14" t="s">
        <v>50</v>
      </c>
      <c r="B51" s="16">
        <v>0.0</v>
      </c>
      <c r="C51" s="16">
        <v>179.0</v>
      </c>
      <c r="D51" s="16">
        <v>41.29</v>
      </c>
      <c r="E51" s="28">
        <f>SUM(B47:D51)</f>
        <v>1124.4</v>
      </c>
      <c r="F51" s="31">
        <v>0.0655</v>
      </c>
      <c r="H51" s="14" t="s">
        <v>50</v>
      </c>
      <c r="I51" s="16">
        <v>0.0</v>
      </c>
      <c r="J51" s="16">
        <v>179.0</v>
      </c>
      <c r="K51" s="16">
        <v>41.29</v>
      </c>
      <c r="L51" s="36">
        <f>SUM(I47:K51)</f>
        <v>3379.7</v>
      </c>
      <c r="M51" s="38">
        <v>0.1969</v>
      </c>
    </row>
    <row r="52" ht="14.25" customHeight="1"/>
    <row r="53" ht="14.25" customHeight="1"/>
    <row r="54" ht="14.25" customHeight="1">
      <c r="A54" s="1" t="s">
        <v>87</v>
      </c>
    </row>
    <row r="55" ht="14.25" customHeight="1">
      <c r="A55" s="2" t="s">
        <v>88</v>
      </c>
    </row>
    <row r="56" ht="14.25" customHeight="1"/>
    <row r="57" ht="14.25" customHeight="1">
      <c r="A57" s="61" t="s">
        <v>89</v>
      </c>
    </row>
    <row r="58" ht="14.25" customHeight="1">
      <c r="A58" s="55" t="s">
        <v>90</v>
      </c>
      <c r="B58" s="55" t="s">
        <v>16</v>
      </c>
      <c r="C58" s="55" t="s">
        <v>55</v>
      </c>
      <c r="D58" s="55" t="s">
        <v>64</v>
      </c>
      <c r="E58" s="55" t="s">
        <v>67</v>
      </c>
      <c r="F58" s="55" t="s">
        <v>79</v>
      </c>
      <c r="G58" s="55" t="s">
        <v>85</v>
      </c>
      <c r="H58" s="55" t="s">
        <v>91</v>
      </c>
      <c r="I58" s="55" t="s">
        <v>92</v>
      </c>
    </row>
    <row r="59" ht="14.25" customHeight="1">
      <c r="A59" s="65" t="s">
        <v>45</v>
      </c>
      <c r="B59" s="56">
        <f t="shared" ref="B59:B63" si="1">SUM(I7:K7)</f>
        <v>97.23</v>
      </c>
      <c r="C59" s="56">
        <f t="shared" ref="C59:C63" si="2">SUM(I15:K15)</f>
        <v>139.39</v>
      </c>
      <c r="D59" s="56">
        <f t="shared" ref="D59:D63" si="3">SUM(I23:K23)</f>
        <v>167.44</v>
      </c>
      <c r="E59" s="56">
        <f t="shared" ref="E59:E63" si="4">SUM(I31:K31)</f>
        <v>194.42</v>
      </c>
      <c r="F59" s="56">
        <f t="shared" ref="F59:F63" si="5">SUM(I39:K39)</f>
        <v>229.4</v>
      </c>
      <c r="G59" s="56">
        <f t="shared" ref="G59:G63" si="6">SUM(I47:K47)</f>
        <v>255.66</v>
      </c>
      <c r="H59" s="67">
        <f t="shared" ref="H59:H63" si="7">SUM(B59:G59)</f>
        <v>1083.54</v>
      </c>
      <c r="I59" s="66">
        <f t="shared" ref="I59:I63" si="8">H59/H$64</f>
        <v>0.09871191851</v>
      </c>
    </row>
    <row r="60" ht="14.25" customHeight="1">
      <c r="A60" s="65" t="s">
        <v>47</v>
      </c>
      <c r="B60" s="56">
        <f t="shared" si="1"/>
        <v>0</v>
      </c>
      <c r="C60" s="56">
        <f t="shared" si="2"/>
        <v>0</v>
      </c>
      <c r="D60" s="56">
        <f t="shared" si="3"/>
        <v>0</v>
      </c>
      <c r="E60" s="56">
        <f t="shared" si="4"/>
        <v>0</v>
      </c>
      <c r="F60" s="56">
        <f t="shared" si="5"/>
        <v>0</v>
      </c>
      <c r="G60" s="56">
        <f t="shared" si="6"/>
        <v>0.06</v>
      </c>
      <c r="H60" s="67">
        <f t="shared" si="7"/>
        <v>0.06</v>
      </c>
      <c r="I60" s="66">
        <f t="shared" si="8"/>
        <v>0.000005466078881</v>
      </c>
    </row>
    <row r="61" ht="14.25" customHeight="1">
      <c r="A61" s="65" t="s">
        <v>48</v>
      </c>
      <c r="B61" s="56">
        <f t="shared" si="1"/>
        <v>0</v>
      </c>
      <c r="C61" s="56">
        <f t="shared" si="2"/>
        <v>0</v>
      </c>
      <c r="D61" s="56">
        <f t="shared" si="3"/>
        <v>0</v>
      </c>
      <c r="E61" s="56">
        <f t="shared" si="4"/>
        <v>0</v>
      </c>
      <c r="F61" s="56">
        <f t="shared" si="5"/>
        <v>1.3</v>
      </c>
      <c r="G61" s="56">
        <f t="shared" si="6"/>
        <v>7.96</v>
      </c>
      <c r="H61" s="67">
        <f t="shared" si="7"/>
        <v>9.26</v>
      </c>
      <c r="I61" s="66">
        <f t="shared" si="8"/>
        <v>0.000843598174</v>
      </c>
    </row>
    <row r="62" ht="14.25" customHeight="1">
      <c r="A62" s="65" t="s">
        <v>49</v>
      </c>
      <c r="B62" s="56">
        <f t="shared" si="1"/>
        <v>237.41</v>
      </c>
      <c r="C62" s="56">
        <f t="shared" si="2"/>
        <v>719.21</v>
      </c>
      <c r="D62" s="56">
        <f t="shared" si="3"/>
        <v>1148.36</v>
      </c>
      <c r="E62" s="56">
        <f t="shared" si="4"/>
        <v>1625.97</v>
      </c>
      <c r="F62" s="56">
        <f t="shared" si="5"/>
        <v>2323.6</v>
      </c>
      <c r="G62" s="56">
        <f t="shared" si="6"/>
        <v>2895.73</v>
      </c>
      <c r="H62" s="67">
        <f t="shared" si="7"/>
        <v>8950.28</v>
      </c>
      <c r="I62" s="66">
        <f t="shared" si="8"/>
        <v>0.8153822748</v>
      </c>
    </row>
    <row r="63" ht="14.25" customHeight="1">
      <c r="A63" s="65" t="s">
        <v>50</v>
      </c>
      <c r="B63" s="56">
        <f t="shared" si="1"/>
        <v>83.78</v>
      </c>
      <c r="C63" s="56">
        <f t="shared" si="2"/>
        <v>120.1</v>
      </c>
      <c r="D63" s="56">
        <f t="shared" si="3"/>
        <v>144.28</v>
      </c>
      <c r="E63" s="56">
        <f t="shared" si="4"/>
        <v>167.53</v>
      </c>
      <c r="F63" s="56">
        <f t="shared" si="5"/>
        <v>197.67</v>
      </c>
      <c r="G63" s="56">
        <f t="shared" si="6"/>
        <v>220.29</v>
      </c>
      <c r="H63" s="67">
        <f t="shared" si="7"/>
        <v>933.65</v>
      </c>
      <c r="I63" s="66">
        <f t="shared" si="8"/>
        <v>0.08505674245</v>
      </c>
    </row>
    <row r="64" ht="14.25" customHeight="1">
      <c r="A64" s="70" t="s">
        <v>95</v>
      </c>
      <c r="B64" s="71">
        <f t="shared" ref="B64:H64" si="9">SUM(B59:B63)</f>
        <v>418.42</v>
      </c>
      <c r="C64" s="71">
        <f t="shared" si="9"/>
        <v>978.7</v>
      </c>
      <c r="D64" s="71">
        <f t="shared" si="9"/>
        <v>1460.08</v>
      </c>
      <c r="E64" s="71">
        <f t="shared" si="9"/>
        <v>1987.92</v>
      </c>
      <c r="F64" s="71">
        <f t="shared" si="9"/>
        <v>2751.97</v>
      </c>
      <c r="G64" s="71">
        <f t="shared" si="9"/>
        <v>3379.7</v>
      </c>
      <c r="H64" s="71">
        <f t="shared" si="9"/>
        <v>10976.79</v>
      </c>
      <c r="I64" s="72" t="s">
        <v>94</v>
      </c>
    </row>
    <row r="65" ht="14.25" customHeight="1"/>
    <row r="66" ht="14.25" customHeight="1"/>
    <row r="67" ht="14.25" customHeight="1">
      <c r="A67" s="73" t="s">
        <v>104</v>
      </c>
    </row>
    <row r="68" ht="14.25" customHeight="1">
      <c r="A68" s="8" t="s">
        <v>90</v>
      </c>
      <c r="B68" s="8" t="s">
        <v>16</v>
      </c>
      <c r="C68" s="8" t="s">
        <v>55</v>
      </c>
      <c r="D68" s="8" t="s">
        <v>64</v>
      </c>
      <c r="E68" s="8" t="s">
        <v>67</v>
      </c>
      <c r="F68" s="8" t="s">
        <v>79</v>
      </c>
      <c r="G68" s="8" t="s">
        <v>85</v>
      </c>
      <c r="H68" s="8" t="s">
        <v>91</v>
      </c>
      <c r="I68" s="8" t="s">
        <v>92</v>
      </c>
    </row>
    <row r="69" ht="14.25" customHeight="1">
      <c r="A69" s="65" t="s">
        <v>45</v>
      </c>
      <c r="B69" s="56">
        <f t="shared" ref="B69:B73" si="10">SUM(B7:D7)</f>
        <v>97.23</v>
      </c>
      <c r="C69" s="56">
        <f t="shared" ref="C69:C73" si="11">SUM(B15:D15)</f>
        <v>139.39</v>
      </c>
      <c r="D69" s="56">
        <f t="shared" ref="D69:D73" si="12">SUM(B23:D23)</f>
        <v>167.44</v>
      </c>
      <c r="E69" s="56">
        <f t="shared" ref="E69:E73" si="13">SUM(B31:D31)</f>
        <v>194.42</v>
      </c>
      <c r="F69" s="56">
        <f t="shared" ref="F69:F73" si="14">SUM(B39:D39)</f>
        <v>229.4</v>
      </c>
      <c r="G69" s="56">
        <f t="shared" ref="G69:G73" si="15">SUM(B47:D47)</f>
        <v>255.66</v>
      </c>
      <c r="H69" s="67">
        <f t="shared" ref="H69:H73" si="16">SUM(B69:G69)</f>
        <v>1083.54</v>
      </c>
      <c r="I69" s="66">
        <f t="shared" ref="I69:I73" si="17">H69/H$74</f>
        <v>0.3203550236</v>
      </c>
    </row>
    <row r="70" ht="14.25" customHeight="1">
      <c r="A70" s="65" t="s">
        <v>47</v>
      </c>
      <c r="B70" s="56">
        <f t="shared" si="10"/>
        <v>0</v>
      </c>
      <c r="C70" s="56">
        <f t="shared" si="11"/>
        <v>0</v>
      </c>
      <c r="D70" s="56">
        <f t="shared" si="12"/>
        <v>0</v>
      </c>
      <c r="E70" s="56">
        <f t="shared" si="13"/>
        <v>0</v>
      </c>
      <c r="F70" s="56">
        <f t="shared" si="14"/>
        <v>0</v>
      </c>
      <c r="G70" s="56">
        <f t="shared" si="15"/>
        <v>0</v>
      </c>
      <c r="H70" s="67">
        <f t="shared" si="16"/>
        <v>0</v>
      </c>
      <c r="I70" s="66">
        <f t="shared" si="17"/>
        <v>0</v>
      </c>
    </row>
    <row r="71" ht="14.25" customHeight="1">
      <c r="A71" s="65" t="s">
        <v>48</v>
      </c>
      <c r="B71" s="56">
        <f t="shared" si="10"/>
        <v>0</v>
      </c>
      <c r="C71" s="56">
        <f t="shared" si="11"/>
        <v>0</v>
      </c>
      <c r="D71" s="56">
        <f t="shared" si="12"/>
        <v>0</v>
      </c>
      <c r="E71" s="56">
        <f t="shared" si="13"/>
        <v>0</v>
      </c>
      <c r="F71" s="56">
        <f t="shared" si="14"/>
        <v>1.3</v>
      </c>
      <c r="G71" s="56">
        <f t="shared" si="15"/>
        <v>7.96</v>
      </c>
      <c r="H71" s="67">
        <f t="shared" si="16"/>
        <v>9.26</v>
      </c>
      <c r="I71" s="66">
        <f t="shared" si="17"/>
        <v>0.002737773888</v>
      </c>
    </row>
    <row r="72" ht="14.25" customHeight="1">
      <c r="A72" s="65" t="s">
        <v>49</v>
      </c>
      <c r="B72" s="56">
        <f t="shared" si="10"/>
        <v>0.01</v>
      </c>
      <c r="C72" s="56">
        <f t="shared" si="11"/>
        <v>19.28</v>
      </c>
      <c r="D72" s="56">
        <f t="shared" si="12"/>
        <v>80.14</v>
      </c>
      <c r="E72" s="56">
        <f t="shared" si="13"/>
        <v>195.84</v>
      </c>
      <c r="F72" s="56">
        <f t="shared" si="14"/>
        <v>420.1</v>
      </c>
      <c r="G72" s="56">
        <f t="shared" si="15"/>
        <v>640.49</v>
      </c>
      <c r="H72" s="67">
        <f t="shared" si="16"/>
        <v>1355.86</v>
      </c>
      <c r="I72" s="66">
        <f t="shared" si="17"/>
        <v>0.4008680458</v>
      </c>
    </row>
    <row r="73" ht="14.25" customHeight="1">
      <c r="A73" s="65" t="s">
        <v>50</v>
      </c>
      <c r="B73" s="56">
        <f t="shared" si="10"/>
        <v>83.78</v>
      </c>
      <c r="C73" s="56">
        <f t="shared" si="11"/>
        <v>120.1</v>
      </c>
      <c r="D73" s="56">
        <f t="shared" si="12"/>
        <v>144.28</v>
      </c>
      <c r="E73" s="56">
        <f t="shared" si="13"/>
        <v>167.53</v>
      </c>
      <c r="F73" s="56">
        <f t="shared" si="14"/>
        <v>197.67</v>
      </c>
      <c r="G73" s="56">
        <f t="shared" si="15"/>
        <v>220.29</v>
      </c>
      <c r="H73" s="67">
        <f t="shared" si="16"/>
        <v>933.65</v>
      </c>
      <c r="I73" s="66">
        <f t="shared" si="17"/>
        <v>0.2760391567</v>
      </c>
    </row>
    <row r="74" ht="14.25" customHeight="1">
      <c r="A74" s="70" t="s">
        <v>95</v>
      </c>
      <c r="B74" s="71">
        <f t="shared" ref="B74:H74" si="18">SUM(B69:B73)</f>
        <v>181.02</v>
      </c>
      <c r="C74" s="71">
        <f t="shared" si="18"/>
        <v>278.77</v>
      </c>
      <c r="D74" s="71">
        <f t="shared" si="18"/>
        <v>391.86</v>
      </c>
      <c r="E74" s="71">
        <f t="shared" si="18"/>
        <v>557.79</v>
      </c>
      <c r="F74" s="71">
        <f t="shared" si="18"/>
        <v>848.47</v>
      </c>
      <c r="G74" s="71">
        <f t="shared" si="18"/>
        <v>1124.4</v>
      </c>
      <c r="H74" s="71">
        <f t="shared" si="18"/>
        <v>3382.31</v>
      </c>
      <c r="I74" s="72" t="s">
        <v>94</v>
      </c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5" width="20.0"/>
    <col customWidth="1" min="6" max="6" width="18.0"/>
    <col customWidth="1" min="7" max="7" width="20.0"/>
    <col customWidth="1" min="8" max="8" width="32.86"/>
    <col customWidth="1" min="9" max="26" width="8.86"/>
  </cols>
  <sheetData>
    <row r="1" ht="14.25" customHeight="1">
      <c r="A1" s="1" t="s">
        <v>2</v>
      </c>
    </row>
    <row r="2" ht="14.25" customHeight="1">
      <c r="A2" s="2" t="s">
        <v>5</v>
      </c>
    </row>
    <row r="3" ht="14.25" customHeight="1"/>
    <row r="4" ht="14.25" customHeight="1">
      <c r="A4" s="4" t="s">
        <v>9</v>
      </c>
    </row>
    <row r="5" ht="27.75" customHeight="1">
      <c r="A5" s="8" t="s">
        <v>12</v>
      </c>
      <c r="B5" s="8" t="s">
        <v>20</v>
      </c>
      <c r="C5" s="8" t="s">
        <v>22</v>
      </c>
      <c r="D5" s="8" t="s">
        <v>27</v>
      </c>
      <c r="E5" s="8" t="s">
        <v>29</v>
      </c>
      <c r="F5" s="8" t="s">
        <v>33</v>
      </c>
      <c r="G5" s="8" t="s">
        <v>35</v>
      </c>
      <c r="H5" s="8" t="s">
        <v>28</v>
      </c>
    </row>
    <row r="6" ht="14.25" customHeight="1">
      <c r="A6" s="10" t="s">
        <v>38</v>
      </c>
      <c r="B6" s="12">
        <v>181.0</v>
      </c>
      <c r="C6" s="12">
        <v>180.9</v>
      </c>
      <c r="D6" s="12">
        <v>38.7</v>
      </c>
      <c r="E6" s="19">
        <f t="shared" ref="E6:E11" si="1">B6-C6</f>
        <v>0.1</v>
      </c>
      <c r="F6" s="22">
        <f t="shared" ref="F6:F11" si="2">(B6-C6)/C6</f>
        <v>0.0005527915976</v>
      </c>
      <c r="G6" s="24">
        <v>0.025</v>
      </c>
      <c r="H6" s="25" t="s">
        <v>51</v>
      </c>
    </row>
    <row r="7" ht="14.25" customHeight="1">
      <c r="A7" s="27" t="s">
        <v>52</v>
      </c>
      <c r="B7" s="29">
        <v>278.8</v>
      </c>
      <c r="C7" s="29">
        <v>278.4</v>
      </c>
      <c r="D7" s="29">
        <v>95.2</v>
      </c>
      <c r="E7" s="32">
        <f t="shared" si="1"/>
        <v>0.4</v>
      </c>
      <c r="F7" s="33">
        <f t="shared" si="2"/>
        <v>0.001436781609</v>
      </c>
      <c r="G7" s="35">
        <v>0.0282</v>
      </c>
      <c r="H7" s="25" t="s">
        <v>51</v>
      </c>
    </row>
    <row r="8" ht="14.25" customHeight="1">
      <c r="A8" s="10" t="s">
        <v>53</v>
      </c>
      <c r="B8" s="12">
        <v>391.9</v>
      </c>
      <c r="C8" s="12">
        <v>388.9</v>
      </c>
      <c r="D8" s="12">
        <v>166.9</v>
      </c>
      <c r="E8" s="19">
        <f t="shared" si="1"/>
        <v>3</v>
      </c>
      <c r="F8" s="22">
        <f t="shared" si="2"/>
        <v>0.007714065312</v>
      </c>
      <c r="G8" s="24">
        <v>0.0336</v>
      </c>
      <c r="H8" s="25" t="s">
        <v>51</v>
      </c>
    </row>
    <row r="9" ht="14.25" customHeight="1">
      <c r="A9" s="27" t="s">
        <v>57</v>
      </c>
      <c r="B9" s="29">
        <v>557.8</v>
      </c>
      <c r="C9" s="29">
        <v>546.3</v>
      </c>
      <c r="D9" s="29">
        <v>262.2</v>
      </c>
      <c r="E9" s="32">
        <f t="shared" si="1"/>
        <v>11.5</v>
      </c>
      <c r="F9" s="33">
        <f t="shared" si="2"/>
        <v>0.02105070474</v>
      </c>
      <c r="G9" s="35">
        <v>0.0418</v>
      </c>
      <c r="H9" s="25" t="s">
        <v>51</v>
      </c>
    </row>
    <row r="10" ht="14.25" customHeight="1">
      <c r="A10" s="10" t="s">
        <v>58</v>
      </c>
      <c r="B10" s="12">
        <v>848.5</v>
      </c>
      <c r="C10" s="12">
        <v>825.2</v>
      </c>
      <c r="D10" s="12">
        <v>438.6</v>
      </c>
      <c r="E10" s="19">
        <f t="shared" si="1"/>
        <v>23.3</v>
      </c>
      <c r="F10" s="22">
        <f t="shared" si="2"/>
        <v>0.02823557925</v>
      </c>
      <c r="G10" s="24">
        <v>0.0546</v>
      </c>
      <c r="H10" s="25" t="s">
        <v>51</v>
      </c>
    </row>
    <row r="11" ht="14.25" customHeight="1">
      <c r="A11" s="27" t="s">
        <v>59</v>
      </c>
      <c r="B11" s="29">
        <v>1124.4</v>
      </c>
      <c r="C11" s="29">
        <v>1078.8</v>
      </c>
      <c r="D11" s="29">
        <v>614.3</v>
      </c>
      <c r="E11" s="32">
        <f t="shared" si="1"/>
        <v>45.6</v>
      </c>
      <c r="F11" s="33">
        <f t="shared" si="2"/>
        <v>0.04226918799</v>
      </c>
      <c r="G11" s="35">
        <v>0.0655</v>
      </c>
      <c r="H11" s="25" t="s">
        <v>51</v>
      </c>
    </row>
    <row r="12" ht="14.25" customHeight="1"/>
    <row r="13" ht="14.25" customHeight="1">
      <c r="A13" s="4" t="s">
        <v>60</v>
      </c>
    </row>
    <row r="14" ht="27.75" customHeight="1">
      <c r="A14" s="8" t="s">
        <v>12</v>
      </c>
      <c r="B14" s="8" t="s">
        <v>20</v>
      </c>
      <c r="C14" s="8" t="s">
        <v>22</v>
      </c>
      <c r="D14" s="8" t="s">
        <v>27</v>
      </c>
      <c r="E14" s="8" t="s">
        <v>29</v>
      </c>
      <c r="F14" s="8" t="s">
        <v>33</v>
      </c>
      <c r="G14" s="8" t="s">
        <v>35</v>
      </c>
      <c r="H14" s="8" t="s">
        <v>28</v>
      </c>
    </row>
    <row r="15" ht="14.25" customHeight="1">
      <c r="A15" s="27" t="s">
        <v>38</v>
      </c>
      <c r="B15" s="29">
        <v>418.4</v>
      </c>
      <c r="C15" s="29">
        <v>409.5</v>
      </c>
      <c r="D15" s="29">
        <v>226.0</v>
      </c>
      <c r="E15" s="32">
        <f t="shared" ref="E15:E20" si="3">B15-C15</f>
        <v>8.9</v>
      </c>
      <c r="F15" s="33">
        <f t="shared" ref="F15:F20" si="4">(B15-C15)/C15</f>
        <v>0.02173382173</v>
      </c>
      <c r="G15" s="35">
        <v>0.0577</v>
      </c>
      <c r="H15" s="25" t="s">
        <v>51</v>
      </c>
    </row>
    <row r="16" ht="14.25" customHeight="1">
      <c r="A16" s="10" t="s">
        <v>52</v>
      </c>
      <c r="B16" s="12">
        <v>978.7</v>
      </c>
      <c r="C16" s="12">
        <v>943.3</v>
      </c>
      <c r="D16" s="12">
        <v>737.4</v>
      </c>
      <c r="E16" s="19">
        <f t="shared" si="3"/>
        <v>35.4</v>
      </c>
      <c r="F16" s="22">
        <f t="shared" si="4"/>
        <v>0.03752782784</v>
      </c>
      <c r="G16" s="24">
        <v>0.0988</v>
      </c>
      <c r="H16" s="25" t="s">
        <v>51</v>
      </c>
    </row>
    <row r="17" ht="14.25" customHeight="1">
      <c r="A17" s="27" t="s">
        <v>53</v>
      </c>
      <c r="B17" s="29">
        <v>1460.1</v>
      </c>
      <c r="C17" s="29">
        <v>1399.3</v>
      </c>
      <c r="D17" s="29">
        <v>1230.0</v>
      </c>
      <c r="E17" s="32">
        <f t="shared" si="3"/>
        <v>60.8</v>
      </c>
      <c r="F17" s="33">
        <f t="shared" si="4"/>
        <v>0.04345029658</v>
      </c>
      <c r="G17" s="35">
        <v>0.1252</v>
      </c>
      <c r="H17" s="25" t="s">
        <v>51</v>
      </c>
    </row>
    <row r="18" ht="14.25" customHeight="1">
      <c r="A18" s="10" t="s">
        <v>57</v>
      </c>
      <c r="B18" s="12">
        <v>1987.9</v>
      </c>
      <c r="C18" s="12">
        <v>1892.7</v>
      </c>
      <c r="D18" s="12">
        <v>1785.6</v>
      </c>
      <c r="E18" s="19">
        <f t="shared" si="3"/>
        <v>95.2</v>
      </c>
      <c r="F18" s="22">
        <f t="shared" si="4"/>
        <v>0.05029851535</v>
      </c>
      <c r="G18" s="24">
        <v>0.149</v>
      </c>
      <c r="H18" s="49" t="s">
        <v>68</v>
      </c>
    </row>
    <row r="19" ht="14.25" customHeight="1">
      <c r="A19" s="27" t="s">
        <v>58</v>
      </c>
      <c r="B19" s="29">
        <v>2752.0</v>
      </c>
      <c r="C19" s="29">
        <v>2624.0</v>
      </c>
      <c r="D19" s="29">
        <v>2591.7</v>
      </c>
      <c r="E19" s="32">
        <f t="shared" si="3"/>
        <v>128</v>
      </c>
      <c r="F19" s="33">
        <f t="shared" si="4"/>
        <v>0.0487804878</v>
      </c>
      <c r="G19" s="35">
        <v>0.1773</v>
      </c>
      <c r="H19" s="49" t="s">
        <v>69</v>
      </c>
    </row>
    <row r="20" ht="14.25" customHeight="1">
      <c r="A20" s="10" t="s">
        <v>59</v>
      </c>
      <c r="B20" s="12">
        <v>3379.7</v>
      </c>
      <c r="C20" s="12">
        <v>3213.0</v>
      </c>
      <c r="D20" s="12">
        <v>3191.5</v>
      </c>
      <c r="E20" s="19">
        <f t="shared" si="3"/>
        <v>166.7</v>
      </c>
      <c r="F20" s="22">
        <f t="shared" si="4"/>
        <v>0.05188297541</v>
      </c>
      <c r="G20" s="24">
        <v>0.1969</v>
      </c>
      <c r="H20" s="49" t="s">
        <v>70</v>
      </c>
    </row>
    <row r="21" ht="14.25" customHeight="1"/>
    <row r="22" ht="14.25" customHeight="1">
      <c r="A22" s="4" t="s">
        <v>71</v>
      </c>
    </row>
    <row r="23" ht="27.75" customHeight="1">
      <c r="A23" s="53" t="s">
        <v>13</v>
      </c>
      <c r="B23" s="53" t="s">
        <v>72</v>
      </c>
      <c r="C23" s="53" t="s">
        <v>73</v>
      </c>
      <c r="D23" s="53" t="s">
        <v>74</v>
      </c>
      <c r="E23" s="53" t="s">
        <v>75</v>
      </c>
      <c r="F23" s="53" t="s">
        <v>76</v>
      </c>
      <c r="G23" s="53" t="s">
        <v>77</v>
      </c>
    </row>
    <row r="24" ht="14.25" customHeight="1">
      <c r="A24" s="10" t="s">
        <v>38</v>
      </c>
      <c r="B24" s="12">
        <f t="shared" ref="B24:B29" si="5">B6</f>
        <v>181</v>
      </c>
      <c r="C24" s="12">
        <f t="shared" ref="C24:C29" si="6">B15</f>
        <v>418.4</v>
      </c>
      <c r="D24" s="58">
        <f t="shared" ref="D24:D29" si="7">(C24-B24)/B24</f>
        <v>1.31160221</v>
      </c>
      <c r="E24" s="59">
        <f t="shared" ref="E24:E29" si="8">G6</f>
        <v>0.025</v>
      </c>
      <c r="F24" s="59">
        <f t="shared" ref="F24:F29" si="9">G15</f>
        <v>0.0577</v>
      </c>
      <c r="G24" s="60">
        <f t="shared" ref="G24:G29" si="10">C24/B24</f>
        <v>2.31160221</v>
      </c>
    </row>
    <row r="25" ht="14.25" customHeight="1">
      <c r="A25" s="27" t="s">
        <v>52</v>
      </c>
      <c r="B25" s="29">
        <f t="shared" si="5"/>
        <v>278.8</v>
      </c>
      <c r="C25" s="29">
        <f t="shared" si="6"/>
        <v>978.7</v>
      </c>
      <c r="D25" s="62">
        <f t="shared" si="7"/>
        <v>2.510401722</v>
      </c>
      <c r="E25" s="63">
        <f t="shared" si="8"/>
        <v>0.0282</v>
      </c>
      <c r="F25" s="63">
        <f t="shared" si="9"/>
        <v>0.0988</v>
      </c>
      <c r="G25" s="64">
        <f t="shared" si="10"/>
        <v>3.510401722</v>
      </c>
    </row>
    <row r="26" ht="14.25" customHeight="1">
      <c r="A26" s="10" t="s">
        <v>53</v>
      </c>
      <c r="B26" s="12">
        <f t="shared" si="5"/>
        <v>391.9</v>
      </c>
      <c r="C26" s="12">
        <f t="shared" si="6"/>
        <v>1460.1</v>
      </c>
      <c r="D26" s="58">
        <f t="shared" si="7"/>
        <v>2.72569533</v>
      </c>
      <c r="E26" s="59">
        <f t="shared" si="8"/>
        <v>0.0336</v>
      </c>
      <c r="F26" s="59">
        <f t="shared" si="9"/>
        <v>0.1252</v>
      </c>
      <c r="G26" s="60">
        <f t="shared" si="10"/>
        <v>3.72569533</v>
      </c>
    </row>
    <row r="27" ht="14.25" customHeight="1">
      <c r="A27" s="27" t="s">
        <v>57</v>
      </c>
      <c r="B27" s="29">
        <f t="shared" si="5"/>
        <v>557.8</v>
      </c>
      <c r="C27" s="29">
        <f t="shared" si="6"/>
        <v>1987.9</v>
      </c>
      <c r="D27" s="62">
        <f t="shared" si="7"/>
        <v>2.563822158</v>
      </c>
      <c r="E27" s="63">
        <f t="shared" si="8"/>
        <v>0.0418</v>
      </c>
      <c r="F27" s="63">
        <f t="shared" si="9"/>
        <v>0.149</v>
      </c>
      <c r="G27" s="64">
        <f t="shared" si="10"/>
        <v>3.563822158</v>
      </c>
    </row>
    <row r="28" ht="14.25" customHeight="1">
      <c r="A28" s="10" t="s">
        <v>58</v>
      </c>
      <c r="B28" s="12">
        <f t="shared" si="5"/>
        <v>848.5</v>
      </c>
      <c r="C28" s="12">
        <f t="shared" si="6"/>
        <v>2752</v>
      </c>
      <c r="D28" s="58">
        <f t="shared" si="7"/>
        <v>2.243370654</v>
      </c>
      <c r="E28" s="59">
        <f t="shared" si="8"/>
        <v>0.0546</v>
      </c>
      <c r="F28" s="59">
        <f t="shared" si="9"/>
        <v>0.1773</v>
      </c>
      <c r="G28" s="60">
        <f t="shared" si="10"/>
        <v>3.243370654</v>
      </c>
    </row>
    <row r="29" ht="14.25" customHeight="1">
      <c r="A29" s="27" t="s">
        <v>59</v>
      </c>
      <c r="B29" s="29">
        <f t="shared" si="5"/>
        <v>1124.4</v>
      </c>
      <c r="C29" s="29">
        <f t="shared" si="6"/>
        <v>3379.7</v>
      </c>
      <c r="D29" s="62">
        <f t="shared" si="7"/>
        <v>2.005780861</v>
      </c>
      <c r="E29" s="63">
        <f t="shared" si="8"/>
        <v>0.0655</v>
      </c>
      <c r="F29" s="63">
        <f t="shared" si="9"/>
        <v>0.1969</v>
      </c>
      <c r="G29" s="64">
        <f t="shared" si="10"/>
        <v>3.005780861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40.0"/>
    <col customWidth="1" min="3" max="3" width="16.0"/>
    <col customWidth="1" min="4" max="4" width="15.0"/>
    <col customWidth="1" min="5" max="5" width="16.0"/>
    <col customWidth="1" min="6" max="8" width="15.0"/>
    <col customWidth="1" min="9" max="9" width="23.0"/>
    <col customWidth="1" min="10" max="11" width="15.86"/>
    <col customWidth="1" min="12" max="13" width="15.0"/>
    <col customWidth="1" min="14" max="26" width="8.86"/>
  </cols>
  <sheetData>
    <row r="1" ht="14.25" customHeight="1">
      <c r="A1" s="1" t="s">
        <v>3</v>
      </c>
    </row>
    <row r="2" ht="14.25" customHeight="1">
      <c r="A2" s="3" t="s">
        <v>6</v>
      </c>
    </row>
    <row r="3" ht="14.25" customHeight="1"/>
    <row r="4" ht="14.25" customHeight="1">
      <c r="A4" s="4" t="s">
        <v>11</v>
      </c>
    </row>
    <row r="5" ht="27.75" customHeight="1">
      <c r="A5" s="7" t="s">
        <v>15</v>
      </c>
      <c r="B5" s="7" t="s">
        <v>19</v>
      </c>
      <c r="C5" s="7" t="s">
        <v>23</v>
      </c>
      <c r="D5" s="7" t="s">
        <v>25</v>
      </c>
      <c r="E5" s="7" t="s">
        <v>30</v>
      </c>
      <c r="F5" s="7" t="s">
        <v>36</v>
      </c>
      <c r="G5" s="7" t="s">
        <v>39</v>
      </c>
      <c r="H5" s="7" t="s">
        <v>40</v>
      </c>
      <c r="I5" s="7" t="s">
        <v>41</v>
      </c>
      <c r="J5" s="7" t="s">
        <v>42</v>
      </c>
      <c r="K5" s="7" t="s">
        <v>43</v>
      </c>
    </row>
    <row r="6" ht="14.25" customHeight="1">
      <c r="A6" s="13" t="s">
        <v>44</v>
      </c>
      <c r="B6" s="15" t="s">
        <v>46</v>
      </c>
      <c r="C6" s="17">
        <v>144314.9</v>
      </c>
      <c r="D6" s="20">
        <f t="shared" ref="D6:D8" si="1">C6/10000</f>
        <v>14.43149</v>
      </c>
      <c r="E6" s="23">
        <f t="shared" ref="E6:E8" si="2">C6/$C$9</f>
        <v>0.321585854</v>
      </c>
      <c r="F6" s="26">
        <v>44.2</v>
      </c>
      <c r="G6" s="26">
        <f t="shared" ref="G6:G9" si="3">(25400/F6)-254</f>
        <v>320.6606335</v>
      </c>
      <c r="H6" s="26">
        <f t="shared" ref="H6:H9" si="4">0.2*G6</f>
        <v>64.1321267</v>
      </c>
      <c r="I6" s="26">
        <v>57.2</v>
      </c>
      <c r="J6" s="26">
        <f t="shared" ref="J6:J9" si="5">(25400/I6)-254</f>
        <v>190.0559441</v>
      </c>
      <c r="K6" s="26">
        <f t="shared" ref="K6:K9" si="6">0.2*J6</f>
        <v>38.01118881</v>
      </c>
    </row>
    <row r="7" ht="14.25" customHeight="1">
      <c r="A7" s="39" t="s">
        <v>54</v>
      </c>
      <c r="B7" s="40" t="s">
        <v>56</v>
      </c>
      <c r="C7" s="41">
        <v>247702.6</v>
      </c>
      <c r="D7" s="42">
        <f t="shared" si="1"/>
        <v>24.77026</v>
      </c>
      <c r="E7" s="43">
        <f t="shared" si="2"/>
        <v>0.5519710866</v>
      </c>
      <c r="F7" s="44">
        <v>68.7</v>
      </c>
      <c r="G7" s="44">
        <f t="shared" si="3"/>
        <v>115.7234352</v>
      </c>
      <c r="H7" s="44">
        <f t="shared" si="4"/>
        <v>23.14468705</v>
      </c>
      <c r="I7" s="44">
        <v>80.0</v>
      </c>
      <c r="J7" s="44">
        <f t="shared" si="5"/>
        <v>63.5</v>
      </c>
      <c r="K7" s="44">
        <f t="shared" si="6"/>
        <v>12.7</v>
      </c>
    </row>
    <row r="8" ht="14.25" customHeight="1">
      <c r="A8" s="13" t="s">
        <v>61</v>
      </c>
      <c r="B8" s="15" t="s">
        <v>62</v>
      </c>
      <c r="C8" s="17">
        <v>56742.6</v>
      </c>
      <c r="D8" s="20">
        <f t="shared" si="1"/>
        <v>5.67426</v>
      </c>
      <c r="E8" s="23">
        <f t="shared" si="2"/>
        <v>0.1264430594</v>
      </c>
      <c r="F8" s="26">
        <v>74.1</v>
      </c>
      <c r="G8" s="26">
        <f t="shared" si="3"/>
        <v>88.78002699</v>
      </c>
      <c r="H8" s="26">
        <f t="shared" si="4"/>
        <v>17.7560054</v>
      </c>
      <c r="I8" s="26">
        <v>84.2</v>
      </c>
      <c r="J8" s="26">
        <f t="shared" si="5"/>
        <v>47.66270784</v>
      </c>
      <c r="K8" s="26">
        <f t="shared" si="6"/>
        <v>9.532541568</v>
      </c>
    </row>
    <row r="9" ht="14.25" customHeight="1">
      <c r="A9" s="45" t="s">
        <v>65</v>
      </c>
      <c r="B9" s="45" t="s">
        <v>66</v>
      </c>
      <c r="C9" s="46">
        <f t="shared" ref="C9:E9" si="7">SUM(C6:C8)</f>
        <v>448760.1</v>
      </c>
      <c r="D9" s="47">
        <f t="shared" si="7"/>
        <v>44.87601</v>
      </c>
      <c r="E9" s="48">
        <f t="shared" si="7"/>
        <v>1</v>
      </c>
      <c r="F9" s="51">
        <f>(F6*C6+F7*C7+F8*C8)/C9</f>
        <v>61.5039391</v>
      </c>
      <c r="G9" s="51">
        <f t="shared" si="3"/>
        <v>158.9816785</v>
      </c>
      <c r="H9" s="51">
        <f t="shared" si="4"/>
        <v>31.79633569</v>
      </c>
      <c r="I9" s="51">
        <f>(I6*C6+I7*C7+I8*C8)/C9</f>
        <v>73.19890338</v>
      </c>
      <c r="J9" s="51">
        <f t="shared" si="5"/>
        <v>92.99973398</v>
      </c>
      <c r="K9" s="51">
        <f t="shared" si="6"/>
        <v>18.5999468</v>
      </c>
    </row>
    <row r="10" ht="14.25" customHeight="1"/>
    <row r="11" ht="14.25" customHeight="1"/>
    <row r="12" ht="14.25" customHeight="1">
      <c r="A12" s="54" t="s">
        <v>78</v>
      </c>
    </row>
    <row r="13" ht="27.75" customHeight="1">
      <c r="A13" s="55" t="s">
        <v>15</v>
      </c>
      <c r="B13" s="55" t="s">
        <v>16</v>
      </c>
      <c r="C13" s="55" t="s">
        <v>80</v>
      </c>
      <c r="D13" s="55" t="s">
        <v>55</v>
      </c>
      <c r="E13" s="55" t="s">
        <v>81</v>
      </c>
      <c r="F13" s="55" t="s">
        <v>64</v>
      </c>
      <c r="G13" s="55" t="s">
        <v>82</v>
      </c>
      <c r="H13" s="55" t="s">
        <v>67</v>
      </c>
      <c r="I13" s="55" t="s">
        <v>83</v>
      </c>
      <c r="J13" s="55" t="s">
        <v>79</v>
      </c>
      <c r="K13" s="55" t="s">
        <v>84</v>
      </c>
      <c r="L13" s="55" t="s">
        <v>85</v>
      </c>
      <c r="M13" s="55" t="s">
        <v>86</v>
      </c>
    </row>
    <row r="14" ht="14.25" customHeight="1">
      <c r="A14" s="13" t="s">
        <v>44</v>
      </c>
      <c r="B14" s="56">
        <f>SUM('Détail Calculs Excel (OCS)'!I7:I11)</f>
        <v>34.74</v>
      </c>
      <c r="C14" s="57">
        <f t="shared" ref="C14:C16" si="8">B14/B$17</f>
        <v>0.08302662397</v>
      </c>
      <c r="D14" s="56">
        <f>SUM('Détail Calculs Excel (OCS)'!I15:I19)</f>
        <v>69.21</v>
      </c>
      <c r="E14" s="57">
        <f t="shared" ref="E14:E16" si="9">D14/D$17</f>
        <v>0.07071625626</v>
      </c>
      <c r="F14" s="56">
        <f>SUM('Détail Calculs Excel (OCS)'!I23:I27)</f>
        <v>103.53</v>
      </c>
      <c r="G14" s="57">
        <f t="shared" ref="G14:G16" si="10">F14/F$17</f>
        <v>0.07090707359</v>
      </c>
      <c r="H14" s="56">
        <f>SUM('Détail Calculs Excel (OCS)'!I31:I35)</f>
        <v>143.73</v>
      </c>
      <c r="I14" s="57">
        <f t="shared" ref="I14:I16" si="11">H14/H$17</f>
        <v>0.07230170228</v>
      </c>
      <c r="J14" s="56">
        <f>SUM('Détail Calculs Excel (OCS)'!I39:I43)</f>
        <v>204.84</v>
      </c>
      <c r="K14" s="57">
        <f t="shared" ref="K14:K16" si="12">J14/J$17</f>
        <v>0.07443395095</v>
      </c>
      <c r="L14" s="56">
        <f>SUM('Détail Calculs Excel (OCS)'!I47:I51)</f>
        <v>256.52</v>
      </c>
      <c r="M14" s="57">
        <f t="shared" ref="M14:M16" si="13">L14/L$17</f>
        <v>0.07590022783</v>
      </c>
    </row>
    <row r="15" ht="14.25" customHeight="1">
      <c r="A15" s="13" t="s">
        <v>54</v>
      </c>
      <c r="B15" s="56">
        <f>SUM('Détail Calculs Excel (OCS)'!J7:J11)</f>
        <v>268.11</v>
      </c>
      <c r="C15" s="66">
        <f t="shared" si="8"/>
        <v>0.6407676497</v>
      </c>
      <c r="D15" s="56">
        <f>SUM('Détail Calculs Excel (OCS)'!J15:J19)</f>
        <v>660.93</v>
      </c>
      <c r="E15" s="66">
        <f t="shared" si="9"/>
        <v>0.6753141923</v>
      </c>
      <c r="F15" s="56">
        <f>SUM('Détail Calculs Excel (OCS)'!J23:J27)</f>
        <v>1001.99</v>
      </c>
      <c r="G15" s="66">
        <f t="shared" si="10"/>
        <v>0.6862569174</v>
      </c>
      <c r="H15" s="56">
        <f>SUM('Détail Calculs Excel (OCS)'!J31:J35)</f>
        <v>1377.7</v>
      </c>
      <c r="I15" s="66">
        <f t="shared" si="11"/>
        <v>0.6930359371</v>
      </c>
      <c r="J15" s="56">
        <f>SUM('Détail Calculs Excel (OCS)'!J39:J43)</f>
        <v>1922.66</v>
      </c>
      <c r="K15" s="66">
        <f t="shared" si="12"/>
        <v>0.6986486045</v>
      </c>
      <c r="L15" s="56">
        <f>SUM('Détail Calculs Excel (OCS)'!J47:J51)</f>
        <v>2371.59</v>
      </c>
      <c r="M15" s="66">
        <f t="shared" si="13"/>
        <v>0.7017161287</v>
      </c>
    </row>
    <row r="16" ht="14.25" customHeight="1">
      <c r="A16" s="13" t="s">
        <v>61</v>
      </c>
      <c r="B16" s="56">
        <f>SUM('Détail Calculs Excel (OCS)'!K7:K11)</f>
        <v>115.57</v>
      </c>
      <c r="C16" s="57">
        <f t="shared" si="8"/>
        <v>0.2762057263</v>
      </c>
      <c r="D16" s="56">
        <f>SUM('Détail Calculs Excel (OCS)'!K15:K19)</f>
        <v>248.56</v>
      </c>
      <c r="E16" s="57">
        <f t="shared" si="9"/>
        <v>0.2539695514</v>
      </c>
      <c r="F16" s="56">
        <f>SUM('Détail Calculs Excel (OCS)'!K23:K27)</f>
        <v>354.56</v>
      </c>
      <c r="G16" s="57">
        <f t="shared" si="10"/>
        <v>0.242836009</v>
      </c>
      <c r="H16" s="56">
        <f>SUM('Détail Calculs Excel (OCS)'!K31:K35)</f>
        <v>466.49</v>
      </c>
      <c r="I16" s="57">
        <f t="shared" si="11"/>
        <v>0.2346623607</v>
      </c>
      <c r="J16" s="56">
        <f>SUM('Détail Calculs Excel (OCS)'!K39:K43)</f>
        <v>624.47</v>
      </c>
      <c r="K16" s="57">
        <f t="shared" si="12"/>
        <v>0.2269174446</v>
      </c>
      <c r="L16" s="56">
        <f>SUM('Détail Calculs Excel (OCS)'!K47:K51)</f>
        <v>751.59</v>
      </c>
      <c r="M16" s="57">
        <f t="shared" si="13"/>
        <v>0.2223836435</v>
      </c>
    </row>
    <row r="17" ht="14.25" customHeight="1">
      <c r="A17" s="68" t="s">
        <v>93</v>
      </c>
      <c r="B17" s="46">
        <f>SUM(B14:B16)</f>
        <v>418.42</v>
      </c>
      <c r="C17" s="69" t="s">
        <v>94</v>
      </c>
      <c r="D17" s="46">
        <f>SUM(D14:D16)</f>
        <v>978.7</v>
      </c>
      <c r="E17" s="69" t="s">
        <v>94</v>
      </c>
      <c r="F17" s="46">
        <f>SUM(F14:F16)</f>
        <v>1460.08</v>
      </c>
      <c r="G17" s="69" t="s">
        <v>94</v>
      </c>
      <c r="H17" s="46">
        <f>SUM(H14:H16)</f>
        <v>1987.92</v>
      </c>
      <c r="I17" s="69" t="s">
        <v>94</v>
      </c>
      <c r="J17" s="46">
        <f>SUM(J14:J16)</f>
        <v>2751.97</v>
      </c>
      <c r="K17" s="69" t="s">
        <v>94</v>
      </c>
      <c r="L17" s="46">
        <f>SUM(L14:L16)</f>
        <v>3379.7</v>
      </c>
      <c r="M17" s="69" t="s">
        <v>94</v>
      </c>
    </row>
    <row r="18" ht="14.25" customHeight="1"/>
    <row r="19" ht="14.25" customHeight="1"/>
    <row r="20" ht="14.25" customHeight="1">
      <c r="A20" s="4" t="s">
        <v>96</v>
      </c>
    </row>
    <row r="21" ht="27.75" customHeight="1">
      <c r="A21" s="53" t="s">
        <v>15</v>
      </c>
      <c r="B21" s="53" t="s">
        <v>25</v>
      </c>
      <c r="C21" s="53" t="s">
        <v>97</v>
      </c>
      <c r="D21" s="53" t="s">
        <v>98</v>
      </c>
      <c r="E21" s="53" t="s">
        <v>99</v>
      </c>
      <c r="F21" s="53" t="s">
        <v>100</v>
      </c>
      <c r="G21" s="53" t="s">
        <v>101</v>
      </c>
      <c r="H21" s="53" t="s">
        <v>102</v>
      </c>
      <c r="I21" s="53" t="s">
        <v>103</v>
      </c>
    </row>
    <row r="22" ht="14.25" customHeight="1">
      <c r="A22" s="13" t="s">
        <v>44</v>
      </c>
      <c r="B22" s="20">
        <f t="shared" ref="B22:B25" si="14">D6</f>
        <v>14.43149</v>
      </c>
      <c r="C22" s="56">
        <f t="shared" ref="C22:C25" si="15">B14/$B22</f>
        <v>2.407235843</v>
      </c>
      <c r="D22" s="56">
        <f t="shared" ref="D22:D25" si="16">D14/$B22</f>
        <v>4.7957626</v>
      </c>
      <c r="E22" s="56">
        <f t="shared" ref="E22:E25" si="17">F14/$B22</f>
        <v>7.173895419</v>
      </c>
      <c r="F22" s="56">
        <f t="shared" ref="F22:F25" si="18">H14/$B22</f>
        <v>9.959470574</v>
      </c>
      <c r="G22" s="56">
        <f t="shared" ref="G22:G25" si="19">J14/$B22</f>
        <v>14.19396057</v>
      </c>
      <c r="H22" s="56">
        <f t="shared" ref="H22:H25" si="20">L14/$B22</f>
        <v>17.77501838</v>
      </c>
      <c r="I22" s="74">
        <f t="shared" ref="I22:I25" si="21">H22/$H$22</f>
        <v>1</v>
      </c>
    </row>
    <row r="23" ht="14.25" customHeight="1">
      <c r="A23" s="13" t="s">
        <v>54</v>
      </c>
      <c r="B23" s="20">
        <f t="shared" si="14"/>
        <v>24.77026</v>
      </c>
      <c r="C23" s="56">
        <f t="shared" si="15"/>
        <v>10.82386701</v>
      </c>
      <c r="D23" s="56">
        <f t="shared" si="16"/>
        <v>26.68240059</v>
      </c>
      <c r="E23" s="56">
        <f t="shared" si="17"/>
        <v>40.45133156</v>
      </c>
      <c r="F23" s="56">
        <f t="shared" si="18"/>
        <v>55.61911744</v>
      </c>
      <c r="G23" s="56">
        <f t="shared" si="19"/>
        <v>77.61969394</v>
      </c>
      <c r="H23" s="56">
        <f t="shared" si="20"/>
        <v>95.74344395</v>
      </c>
      <c r="I23" s="74">
        <f t="shared" si="21"/>
        <v>5.386404779</v>
      </c>
    </row>
    <row r="24" ht="14.25" customHeight="1">
      <c r="A24" s="13" t="s">
        <v>61</v>
      </c>
      <c r="B24" s="20">
        <f t="shared" si="14"/>
        <v>5.67426</v>
      </c>
      <c r="C24" s="56">
        <f t="shared" si="15"/>
        <v>20.36741355</v>
      </c>
      <c r="D24" s="56">
        <f t="shared" si="16"/>
        <v>43.80483094</v>
      </c>
      <c r="E24" s="56">
        <f t="shared" si="17"/>
        <v>62.48568095</v>
      </c>
      <c r="F24" s="56">
        <f t="shared" si="18"/>
        <v>82.21160116</v>
      </c>
      <c r="G24" s="56">
        <f t="shared" si="19"/>
        <v>110.0531171</v>
      </c>
      <c r="H24" s="56">
        <f t="shared" si="20"/>
        <v>132.4560383</v>
      </c>
      <c r="I24" s="77">
        <f t="shared" si="21"/>
        <v>7.451808796</v>
      </c>
    </row>
    <row r="25" ht="14.25" customHeight="1">
      <c r="A25" s="68" t="s">
        <v>108</v>
      </c>
      <c r="B25" s="47">
        <f t="shared" si="14"/>
        <v>44.87601</v>
      </c>
      <c r="C25" s="46">
        <f t="shared" si="15"/>
        <v>9.32391271</v>
      </c>
      <c r="D25" s="46">
        <f t="shared" si="16"/>
        <v>21.8089799</v>
      </c>
      <c r="E25" s="46">
        <f t="shared" si="17"/>
        <v>32.53586939</v>
      </c>
      <c r="F25" s="46">
        <f t="shared" si="18"/>
        <v>44.29805591</v>
      </c>
      <c r="G25" s="46">
        <f t="shared" si="19"/>
        <v>61.32385655</v>
      </c>
      <c r="H25" s="46">
        <f t="shared" si="20"/>
        <v>75.31195398</v>
      </c>
      <c r="I25" s="80">
        <f t="shared" si="21"/>
        <v>4.236955055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4.43"/>
    <col customWidth="1" min="3" max="3" width="16.0"/>
    <col customWidth="1" min="4" max="4" width="15.0"/>
    <col customWidth="1" min="5" max="5" width="16.0"/>
    <col customWidth="1" min="6" max="9" width="15.0"/>
    <col customWidth="1" min="10" max="11" width="15.86"/>
    <col customWidth="1" min="12" max="13" width="15.0"/>
    <col customWidth="1" min="14" max="26" width="8.86"/>
  </cols>
  <sheetData>
    <row r="1" ht="14.25" customHeight="1">
      <c r="A1" s="75" t="s">
        <v>105</v>
      </c>
    </row>
    <row r="2" ht="14.25" customHeight="1">
      <c r="A2" s="3" t="s">
        <v>106</v>
      </c>
    </row>
    <row r="3" ht="14.25" customHeight="1"/>
    <row r="4" ht="14.25" customHeight="1">
      <c r="A4" s="4"/>
    </row>
    <row r="5" ht="27.75" customHeight="1">
      <c r="A5" s="76" t="s">
        <v>107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</row>
    <row r="6" ht="14.25" customHeight="1">
      <c r="A6" s="79" t="s">
        <v>109</v>
      </c>
      <c r="B6" s="79" t="s">
        <v>110</v>
      </c>
      <c r="C6" s="79" t="s">
        <v>111</v>
      </c>
      <c r="D6" s="79" t="s">
        <v>112</v>
      </c>
      <c r="E6" s="79" t="s">
        <v>113</v>
      </c>
      <c r="F6" s="79" t="s">
        <v>114</v>
      </c>
      <c r="G6" s="79" t="s">
        <v>115</v>
      </c>
      <c r="H6" s="81" t="s">
        <v>116</v>
      </c>
      <c r="I6" s="79" t="s">
        <v>64</v>
      </c>
      <c r="J6" s="79" t="s">
        <v>85</v>
      </c>
      <c r="K6" s="79" t="s">
        <v>117</v>
      </c>
      <c r="L6" s="79" t="s">
        <v>64</v>
      </c>
      <c r="M6" s="79" t="s">
        <v>85</v>
      </c>
    </row>
    <row r="7" ht="14.25" customHeight="1">
      <c r="A7" s="82" t="s">
        <v>118</v>
      </c>
      <c r="B7" s="83">
        <v>5291.3</v>
      </c>
      <c r="C7" s="83">
        <v>26667.3</v>
      </c>
      <c r="D7" s="83">
        <v>16125.2</v>
      </c>
      <c r="E7" s="83">
        <f t="shared" ref="E7:E9" si="1">SUM(B7:D7)</f>
        <v>48083.8</v>
      </c>
      <c r="F7" s="84">
        <f t="shared" ref="F7:F10" si="2">E7/10000</f>
        <v>4.80838</v>
      </c>
      <c r="G7" s="85">
        <f t="shared" ref="G7:G9" si="3">E7/$E$10</f>
        <v>0.180030477</v>
      </c>
      <c r="H7" s="86" t="s">
        <v>119</v>
      </c>
      <c r="I7" s="87">
        <v>227.24</v>
      </c>
      <c r="J7" s="87">
        <v>554.14</v>
      </c>
      <c r="K7" s="86" t="s">
        <v>120</v>
      </c>
      <c r="L7" s="87">
        <v>368.55</v>
      </c>
      <c r="M7" s="87">
        <v>773.25</v>
      </c>
    </row>
    <row r="8" ht="14.25" customHeight="1">
      <c r="A8" s="88" t="s">
        <v>121</v>
      </c>
      <c r="B8" s="89">
        <v>5899.6</v>
      </c>
      <c r="C8" s="89">
        <v>104195.1</v>
      </c>
      <c r="D8" s="89">
        <v>27522.1</v>
      </c>
      <c r="E8" s="89">
        <f t="shared" si="1"/>
        <v>137616.8</v>
      </c>
      <c r="F8" s="90">
        <f t="shared" si="2"/>
        <v>13.76168</v>
      </c>
      <c r="G8" s="85">
        <f t="shared" si="3"/>
        <v>0.5152508359</v>
      </c>
      <c r="H8" s="86" t="s">
        <v>119</v>
      </c>
      <c r="I8" s="91">
        <v>623.88</v>
      </c>
      <c r="J8" s="91">
        <v>1549.25</v>
      </c>
      <c r="K8" s="92" t="s">
        <v>119</v>
      </c>
      <c r="L8" s="91">
        <v>623.88</v>
      </c>
      <c r="M8" s="91">
        <v>1549.25</v>
      </c>
    </row>
    <row r="9" ht="14.25" customHeight="1">
      <c r="A9" s="82" t="s">
        <v>122</v>
      </c>
      <c r="B9" s="83">
        <v>16976.4</v>
      </c>
      <c r="C9" s="83">
        <v>62580.2</v>
      </c>
      <c r="D9" s="83">
        <v>1829.8</v>
      </c>
      <c r="E9" s="83">
        <f t="shared" si="1"/>
        <v>81386.4</v>
      </c>
      <c r="F9" s="84">
        <f t="shared" si="2"/>
        <v>8.13864</v>
      </c>
      <c r="G9" s="85">
        <f t="shared" si="3"/>
        <v>0.3047186872</v>
      </c>
      <c r="H9" s="86" t="s">
        <v>119</v>
      </c>
      <c r="I9" s="87">
        <v>297.24</v>
      </c>
      <c r="J9" s="87">
        <v>792.34</v>
      </c>
      <c r="K9" s="86" t="s">
        <v>123</v>
      </c>
      <c r="L9" s="87">
        <v>75.42</v>
      </c>
      <c r="M9" s="87">
        <v>351.23</v>
      </c>
    </row>
    <row r="10" ht="14.25" customHeight="1">
      <c r="A10" s="93" t="s">
        <v>124</v>
      </c>
      <c r="B10" s="94">
        <f t="shared" ref="B10:E10" si="4">SUM(B7:B9)</f>
        <v>28167.3</v>
      </c>
      <c r="C10" s="94">
        <f t="shared" si="4"/>
        <v>193442.6</v>
      </c>
      <c r="D10" s="94">
        <f t="shared" si="4"/>
        <v>45477.1</v>
      </c>
      <c r="E10" s="94">
        <f t="shared" si="4"/>
        <v>267087</v>
      </c>
      <c r="F10" s="95">
        <f t="shared" si="2"/>
        <v>26.7087</v>
      </c>
      <c r="G10" s="96" t="s">
        <v>94</v>
      </c>
      <c r="H10" s="97" t="s">
        <v>125</v>
      </c>
      <c r="I10" s="98">
        <f t="shared" ref="I10:J10" si="5">SUM(I7:I9)</f>
        <v>1148.36</v>
      </c>
      <c r="J10" s="98">
        <f t="shared" si="5"/>
        <v>2895.73</v>
      </c>
      <c r="K10" s="97" t="s">
        <v>125</v>
      </c>
      <c r="L10" s="98">
        <f t="shared" ref="L10:M10" si="6">SUM(L7:L9)</f>
        <v>1067.85</v>
      </c>
      <c r="M10" s="98">
        <f t="shared" si="6"/>
        <v>2673.73</v>
      </c>
    </row>
    <row r="11" ht="14.25" customHeight="1"/>
    <row r="12" ht="14.25" customHeight="1">
      <c r="A12" s="54"/>
    </row>
    <row r="13" ht="27.75" customHeight="1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</row>
    <row r="14" ht="14.25" customHeight="1">
      <c r="A14" s="13"/>
      <c r="B14" s="56"/>
      <c r="C14" s="57"/>
      <c r="D14" s="56"/>
      <c r="E14" s="57"/>
      <c r="F14" s="56"/>
      <c r="G14" s="57"/>
      <c r="H14" s="56"/>
      <c r="I14" s="57"/>
      <c r="J14" s="56"/>
      <c r="K14" s="57"/>
      <c r="L14" s="56"/>
      <c r="M14" s="57"/>
    </row>
    <row r="15" ht="14.25" customHeight="1">
      <c r="A15" s="13"/>
      <c r="B15" s="56"/>
      <c r="C15" s="66"/>
      <c r="D15" s="56"/>
      <c r="E15" s="66"/>
      <c r="F15" s="56"/>
      <c r="G15" s="66"/>
      <c r="H15" s="56"/>
      <c r="I15" s="66"/>
      <c r="J15" s="100"/>
      <c r="K15" s="101"/>
      <c r="L15" s="100"/>
      <c r="M15" s="101"/>
    </row>
    <row r="16" ht="14.25" customHeight="1">
      <c r="A16" s="102"/>
      <c r="B16" s="100"/>
      <c r="C16" s="104"/>
      <c r="D16" s="100"/>
      <c r="E16" s="104"/>
      <c r="F16" s="100"/>
      <c r="G16" s="104"/>
      <c r="H16" s="100"/>
      <c r="I16" s="106"/>
      <c r="J16" s="107"/>
      <c r="K16" s="109"/>
      <c r="L16" s="107"/>
      <c r="M16" s="109"/>
    </row>
    <row r="17" ht="14.25" customHeight="1">
      <c r="A17" s="110"/>
      <c r="B17" s="111"/>
      <c r="C17" s="112"/>
      <c r="D17" s="111"/>
      <c r="E17" s="112"/>
      <c r="F17" s="111"/>
      <c r="G17" s="112"/>
      <c r="H17" s="111"/>
      <c r="I17" s="112"/>
      <c r="J17" s="111"/>
      <c r="K17" s="112"/>
      <c r="L17" s="111"/>
      <c r="M17" s="112"/>
    </row>
    <row r="18" ht="14.25" customHeight="1"/>
    <row r="19" ht="14.25" customHeight="1"/>
    <row r="20" ht="14.25" customHeight="1">
      <c r="A20" s="114"/>
    </row>
    <row r="21" ht="27.75" customHeight="1">
      <c r="A21" s="116"/>
      <c r="B21" s="116"/>
      <c r="C21" s="116"/>
      <c r="D21" s="116"/>
      <c r="E21" s="116"/>
      <c r="F21" s="116"/>
      <c r="G21" s="116"/>
      <c r="H21" s="116"/>
      <c r="I21" s="116"/>
    </row>
    <row r="22" ht="14.25" customHeight="1">
      <c r="A22" s="110"/>
      <c r="B22" s="117"/>
      <c r="C22" s="107"/>
      <c r="D22" s="107"/>
      <c r="E22" s="107"/>
      <c r="F22" s="107"/>
      <c r="G22" s="107"/>
      <c r="H22" s="107"/>
      <c r="I22" s="118"/>
    </row>
    <row r="23" ht="14.25" customHeight="1">
      <c r="A23" s="110"/>
      <c r="B23" s="117"/>
      <c r="C23" s="107"/>
      <c r="D23" s="107"/>
      <c r="E23" s="107"/>
      <c r="F23" s="107"/>
      <c r="G23" s="107"/>
      <c r="H23" s="107"/>
      <c r="I23" s="118"/>
    </row>
    <row r="24" ht="14.25" customHeight="1">
      <c r="A24" s="110"/>
      <c r="B24" s="117"/>
      <c r="C24" s="107"/>
      <c r="D24" s="107"/>
      <c r="E24" s="107"/>
      <c r="F24" s="107"/>
      <c r="G24" s="107"/>
      <c r="H24" s="107"/>
      <c r="I24" s="118"/>
    </row>
    <row r="25" ht="14.25" customHeight="1">
      <c r="A25" s="110"/>
      <c r="B25" s="121"/>
      <c r="C25" s="111"/>
      <c r="D25" s="111"/>
      <c r="E25" s="111"/>
      <c r="F25" s="111"/>
      <c r="G25" s="111"/>
      <c r="H25" s="111"/>
      <c r="I25" s="118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8.0"/>
    <col customWidth="1" min="3" max="3" width="24.57"/>
    <col customWidth="1" min="4" max="4" width="20.14"/>
    <col customWidth="1" min="5" max="5" width="21.0"/>
    <col customWidth="1" min="6" max="6" width="20.0"/>
    <col customWidth="1" min="7" max="7" width="21.29"/>
    <col customWidth="1" min="8" max="8" width="20.14"/>
    <col customWidth="1" min="9" max="9" width="22.14"/>
    <col customWidth="1" min="10" max="10" width="23.14"/>
    <col customWidth="1" min="11" max="26" width="10.71"/>
  </cols>
  <sheetData>
    <row r="1" ht="14.25" customHeight="1">
      <c r="A1" s="103" t="s">
        <v>126</v>
      </c>
      <c r="B1" s="105"/>
      <c r="C1" s="105"/>
      <c r="D1" s="105"/>
      <c r="E1" s="105"/>
      <c r="F1" s="105"/>
      <c r="G1" s="105"/>
      <c r="H1" s="108"/>
    </row>
    <row r="2" ht="14.25" customHeight="1"/>
    <row r="3" ht="14.25" customHeight="1">
      <c r="A3" s="113" t="s">
        <v>127</v>
      </c>
    </row>
    <row r="4" ht="30.0" customHeight="1">
      <c r="A4" s="115" t="s">
        <v>13</v>
      </c>
      <c r="B4" s="115" t="s">
        <v>128</v>
      </c>
      <c r="C4" s="115" t="s">
        <v>129</v>
      </c>
      <c r="D4" s="115" t="s">
        <v>130</v>
      </c>
      <c r="E4" s="115" t="s">
        <v>131</v>
      </c>
      <c r="F4" s="115" t="s">
        <v>132</v>
      </c>
      <c r="G4" s="115" t="s">
        <v>133</v>
      </c>
      <c r="H4" s="115" t="s">
        <v>134</v>
      </c>
    </row>
    <row r="5" ht="14.25" customHeight="1">
      <c r="A5" s="119" t="s">
        <v>38</v>
      </c>
      <c r="B5" s="120">
        <v>180.9</v>
      </c>
      <c r="C5" s="120">
        <f t="shared" ref="C5:C10" si="1"> $K$15*3600</f>
        <v>161.568</v>
      </c>
      <c r="D5" s="120">
        <v>18.90000000000001</v>
      </c>
      <c r="E5" s="122" t="s">
        <v>51</v>
      </c>
      <c r="F5" s="120">
        <f t="shared" ref="F5:F10" si="2"> $K$16*3600</f>
        <v>484.704</v>
      </c>
      <c r="G5" s="120">
        <v>0.0</v>
      </c>
      <c r="H5" s="122" t="s">
        <v>51</v>
      </c>
      <c r="J5" s="123" t="s">
        <v>135</v>
      </c>
      <c r="K5" s="124">
        <v>44.88</v>
      </c>
    </row>
    <row r="6" ht="14.25" customHeight="1">
      <c r="A6" s="119" t="s">
        <v>52</v>
      </c>
      <c r="B6" s="120">
        <v>278.4</v>
      </c>
      <c r="C6" s="120">
        <f t="shared" si="1"/>
        <v>161.568</v>
      </c>
      <c r="D6" s="120">
        <v>116.4</v>
      </c>
      <c r="E6" s="122" t="s">
        <v>51</v>
      </c>
      <c r="F6" s="120">
        <f t="shared" si="2"/>
        <v>484.704</v>
      </c>
      <c r="G6" s="120">
        <v>0.0</v>
      </c>
      <c r="H6" s="122" t="s">
        <v>51</v>
      </c>
    </row>
    <row r="7" ht="14.25" customHeight="1">
      <c r="A7" s="119" t="s">
        <v>53</v>
      </c>
      <c r="B7" s="120">
        <v>388.9</v>
      </c>
      <c r="C7" s="120">
        <f t="shared" si="1"/>
        <v>161.568</v>
      </c>
      <c r="D7" s="120">
        <v>226.9</v>
      </c>
      <c r="E7" s="122" t="s">
        <v>51</v>
      </c>
      <c r="F7" s="120">
        <f t="shared" si="2"/>
        <v>484.704</v>
      </c>
      <c r="G7" s="120">
        <v>0.0</v>
      </c>
      <c r="H7" s="122" t="s">
        <v>51</v>
      </c>
      <c r="J7" s="123" t="s">
        <v>136</v>
      </c>
    </row>
    <row r="8" ht="14.25" customHeight="1">
      <c r="A8" s="119" t="s">
        <v>57</v>
      </c>
      <c r="B8" s="120">
        <v>546.3</v>
      </c>
      <c r="C8" s="120">
        <f t="shared" si="1"/>
        <v>161.568</v>
      </c>
      <c r="D8" s="120">
        <v>384.3</v>
      </c>
      <c r="E8" s="122" t="s">
        <v>51</v>
      </c>
      <c r="F8" s="120">
        <f t="shared" si="2"/>
        <v>484.704</v>
      </c>
      <c r="G8" s="120">
        <v>61.29999999999995</v>
      </c>
      <c r="H8" s="122" t="s">
        <v>51</v>
      </c>
      <c r="J8" s="124" t="s">
        <v>137</v>
      </c>
      <c r="K8" s="124">
        <f> K5*1</f>
        <v>44.88</v>
      </c>
    </row>
    <row r="9" ht="14.25" customHeight="1">
      <c r="A9" s="119" t="s">
        <v>58</v>
      </c>
      <c r="B9" s="120">
        <v>825.2</v>
      </c>
      <c r="C9" s="120">
        <f t="shared" si="1"/>
        <v>161.568</v>
      </c>
      <c r="D9" s="120">
        <v>663.2</v>
      </c>
      <c r="E9" s="122" t="s">
        <v>51</v>
      </c>
      <c r="F9" s="120">
        <f t="shared" si="2"/>
        <v>484.704</v>
      </c>
      <c r="G9" s="120">
        <v>340.2</v>
      </c>
      <c r="H9" s="122" t="s">
        <v>51</v>
      </c>
      <c r="J9" s="124" t="s">
        <v>138</v>
      </c>
      <c r="K9" s="124">
        <f> K5*3</f>
        <v>134.64</v>
      </c>
    </row>
    <row r="10" ht="14.25" customHeight="1">
      <c r="A10" s="119" t="s">
        <v>59</v>
      </c>
      <c r="B10" s="120">
        <v>1078.8</v>
      </c>
      <c r="C10" s="120">
        <f t="shared" si="1"/>
        <v>161.568</v>
      </c>
      <c r="D10" s="120">
        <v>916.8</v>
      </c>
      <c r="E10" s="122" t="s">
        <v>51</v>
      </c>
      <c r="F10" s="120">
        <f t="shared" si="2"/>
        <v>484.704</v>
      </c>
      <c r="G10" s="120">
        <v>593.8</v>
      </c>
      <c r="H10" s="122" t="s">
        <v>51</v>
      </c>
    </row>
    <row r="11" ht="14.25" customHeight="1"/>
    <row r="12" ht="14.25" customHeight="1">
      <c r="A12" s="125" t="s">
        <v>139</v>
      </c>
    </row>
    <row r="13" ht="33.0" customHeight="1">
      <c r="A13" s="115" t="s">
        <v>13</v>
      </c>
      <c r="B13" s="115" t="s">
        <v>128</v>
      </c>
      <c r="C13" s="115" t="s">
        <v>129</v>
      </c>
      <c r="D13" s="115" t="s">
        <v>130</v>
      </c>
      <c r="E13" s="115" t="s">
        <v>131</v>
      </c>
      <c r="F13" s="115" t="s">
        <v>132</v>
      </c>
      <c r="G13" s="115" t="s">
        <v>133</v>
      </c>
      <c r="H13" s="115" t="s">
        <v>134</v>
      </c>
    </row>
    <row r="14" ht="14.25" customHeight="1">
      <c r="A14" s="119" t="s">
        <v>38</v>
      </c>
      <c r="B14" s="120">
        <v>38.7</v>
      </c>
      <c r="C14" s="120">
        <f t="shared" ref="C14:C19" si="3"> $K$15*3600</f>
        <v>161.568</v>
      </c>
      <c r="D14" s="120">
        <v>0.0</v>
      </c>
      <c r="E14" s="122" t="s">
        <v>51</v>
      </c>
      <c r="F14" s="120">
        <f t="shared" ref="F14:F19" si="4"> $K$16*3600</f>
        <v>484.704</v>
      </c>
      <c r="G14" s="120">
        <v>0.0</v>
      </c>
      <c r="H14" s="122" t="s">
        <v>51</v>
      </c>
      <c r="J14" s="123" t="s">
        <v>140</v>
      </c>
    </row>
    <row r="15" ht="14.25" customHeight="1">
      <c r="A15" s="119" t="s">
        <v>52</v>
      </c>
      <c r="B15" s="120">
        <v>95.2</v>
      </c>
      <c r="C15" s="120">
        <f t="shared" si="3"/>
        <v>161.568</v>
      </c>
      <c r="D15" s="120">
        <v>0.0</v>
      </c>
      <c r="E15" s="122" t="s">
        <v>51</v>
      </c>
      <c r="F15" s="120">
        <f t="shared" si="4"/>
        <v>484.704</v>
      </c>
      <c r="G15" s="120">
        <v>0.0</v>
      </c>
      <c r="H15" s="122" t="s">
        <v>51</v>
      </c>
      <c r="J15" s="124" t="s">
        <v>137</v>
      </c>
      <c r="K15" s="124">
        <f t="shared" ref="K15:K16" si="5">K8/1000</f>
        <v>0.04488</v>
      </c>
    </row>
    <row r="16" ht="14.25" customHeight="1">
      <c r="A16" s="119" t="s">
        <v>53</v>
      </c>
      <c r="B16" s="120">
        <v>166.9</v>
      </c>
      <c r="C16" s="120">
        <f t="shared" si="3"/>
        <v>161.568</v>
      </c>
      <c r="D16" s="120">
        <f t="shared" ref="D16:D19" si="6">B16-C16</f>
        <v>5.332</v>
      </c>
      <c r="E16" s="122" t="s">
        <v>51</v>
      </c>
      <c r="F16" s="120">
        <f t="shared" si="4"/>
        <v>484.704</v>
      </c>
      <c r="G16" s="120">
        <v>0.0</v>
      </c>
      <c r="H16" s="122" t="s">
        <v>51</v>
      </c>
      <c r="J16" s="124" t="s">
        <v>138</v>
      </c>
      <c r="K16" s="124">
        <f t="shared" si="5"/>
        <v>0.13464</v>
      </c>
    </row>
    <row r="17" ht="14.25" customHeight="1">
      <c r="A17" s="119" t="s">
        <v>57</v>
      </c>
      <c r="B17" s="120">
        <v>262.2</v>
      </c>
      <c r="C17" s="120">
        <f t="shared" si="3"/>
        <v>161.568</v>
      </c>
      <c r="D17" s="120">
        <f t="shared" si="6"/>
        <v>100.632</v>
      </c>
      <c r="E17" s="122" t="s">
        <v>51</v>
      </c>
      <c r="F17" s="120">
        <f t="shared" si="4"/>
        <v>484.704</v>
      </c>
      <c r="G17" s="120">
        <v>0.0</v>
      </c>
      <c r="H17" s="122" t="s">
        <v>51</v>
      </c>
    </row>
    <row r="18" ht="14.25" customHeight="1">
      <c r="A18" s="119" t="s">
        <v>58</v>
      </c>
      <c r="B18" s="120">
        <v>438.6</v>
      </c>
      <c r="C18" s="120">
        <f t="shared" si="3"/>
        <v>161.568</v>
      </c>
      <c r="D18" s="120">
        <f t="shared" si="6"/>
        <v>277.032</v>
      </c>
      <c r="E18" s="122" t="s">
        <v>51</v>
      </c>
      <c r="F18" s="120">
        <f t="shared" si="4"/>
        <v>484.704</v>
      </c>
      <c r="G18" s="120">
        <v>0.0</v>
      </c>
      <c r="H18" s="122" t="s">
        <v>51</v>
      </c>
    </row>
    <row r="19" ht="14.25" customHeight="1">
      <c r="A19" s="119" t="s">
        <v>59</v>
      </c>
      <c r="B19" s="120">
        <v>614.3</v>
      </c>
      <c r="C19" s="120">
        <f t="shared" si="3"/>
        <v>161.568</v>
      </c>
      <c r="D19" s="120">
        <f t="shared" si="6"/>
        <v>452.732</v>
      </c>
      <c r="E19" s="122" t="s">
        <v>51</v>
      </c>
      <c r="F19" s="120">
        <f t="shared" si="4"/>
        <v>484.704</v>
      </c>
      <c r="G19" s="120">
        <f>B19-F19</f>
        <v>129.596</v>
      </c>
      <c r="H19" s="122" t="s">
        <v>51</v>
      </c>
    </row>
    <row r="20" ht="14.25" customHeight="1"/>
    <row r="21" ht="14.25" customHeight="1">
      <c r="A21" s="54" t="s">
        <v>141</v>
      </c>
    </row>
    <row r="22" ht="31.5" customHeight="1">
      <c r="A22" s="115" t="s">
        <v>13</v>
      </c>
      <c r="B22" s="115" t="s">
        <v>128</v>
      </c>
      <c r="C22" s="115" t="s">
        <v>129</v>
      </c>
      <c r="D22" s="115" t="s">
        <v>130</v>
      </c>
      <c r="E22" s="115" t="s">
        <v>131</v>
      </c>
      <c r="F22" s="115" t="s">
        <v>132</v>
      </c>
      <c r="G22" s="115" t="s">
        <v>133</v>
      </c>
      <c r="H22" s="115" t="s">
        <v>134</v>
      </c>
    </row>
    <row r="23" ht="14.25" customHeight="1">
      <c r="A23" s="119" t="s">
        <v>38</v>
      </c>
      <c r="B23" s="120">
        <v>409.5</v>
      </c>
      <c r="C23" s="120">
        <f t="shared" ref="C23:C28" si="7"> $K$15*3600</f>
        <v>161.568</v>
      </c>
      <c r="D23" s="120">
        <f t="shared" ref="D23:D28" si="8">B23-C23</f>
        <v>247.932</v>
      </c>
      <c r="E23" s="122" t="s">
        <v>51</v>
      </c>
      <c r="F23" s="120">
        <f t="shared" ref="F23:F28" si="9"> $K$16*3600</f>
        <v>484.704</v>
      </c>
      <c r="G23" s="120">
        <v>0.0</v>
      </c>
      <c r="H23" s="122" t="s">
        <v>51</v>
      </c>
    </row>
    <row r="24" ht="14.25" customHeight="1">
      <c r="A24" s="119" t="s">
        <v>52</v>
      </c>
      <c r="B24" s="120">
        <v>943.3</v>
      </c>
      <c r="C24" s="120">
        <f t="shared" si="7"/>
        <v>161.568</v>
      </c>
      <c r="D24" s="120">
        <f t="shared" si="8"/>
        <v>781.732</v>
      </c>
      <c r="E24" s="122" t="s">
        <v>51</v>
      </c>
      <c r="F24" s="120">
        <f t="shared" si="9"/>
        <v>484.704</v>
      </c>
      <c r="G24" s="120">
        <f t="shared" ref="G24:G28" si="10">B24-F24</f>
        <v>458.596</v>
      </c>
      <c r="H24" s="122" t="s">
        <v>51</v>
      </c>
    </row>
    <row r="25" ht="14.25" customHeight="1">
      <c r="A25" s="119" t="s">
        <v>53</v>
      </c>
      <c r="B25" s="120">
        <v>1399.3</v>
      </c>
      <c r="C25" s="120">
        <f t="shared" si="7"/>
        <v>161.568</v>
      </c>
      <c r="D25" s="120">
        <f t="shared" si="8"/>
        <v>1237.732</v>
      </c>
      <c r="E25" s="122" t="s">
        <v>51</v>
      </c>
      <c r="F25" s="120">
        <f t="shared" si="9"/>
        <v>484.704</v>
      </c>
      <c r="G25" s="120">
        <f t="shared" si="10"/>
        <v>914.596</v>
      </c>
      <c r="H25" s="122" t="s">
        <v>51</v>
      </c>
    </row>
    <row r="26" ht="14.25" customHeight="1">
      <c r="A26" s="119" t="s">
        <v>57</v>
      </c>
      <c r="B26" s="120">
        <v>1892.7</v>
      </c>
      <c r="C26" s="120">
        <f t="shared" si="7"/>
        <v>161.568</v>
      </c>
      <c r="D26" s="120">
        <f t="shared" si="8"/>
        <v>1731.132</v>
      </c>
      <c r="E26" s="126" t="s">
        <v>142</v>
      </c>
      <c r="F26" s="120">
        <f t="shared" si="9"/>
        <v>484.704</v>
      </c>
      <c r="G26" s="120">
        <f t="shared" si="10"/>
        <v>1407.996</v>
      </c>
      <c r="H26" s="122" t="s">
        <v>51</v>
      </c>
    </row>
    <row r="27" ht="14.25" customHeight="1">
      <c r="A27" s="119" t="s">
        <v>58</v>
      </c>
      <c r="B27" s="120">
        <v>2624.0</v>
      </c>
      <c r="C27" s="120">
        <f t="shared" si="7"/>
        <v>161.568</v>
      </c>
      <c r="D27" s="120">
        <f t="shared" si="8"/>
        <v>2462.432</v>
      </c>
      <c r="E27" s="126" t="s">
        <v>142</v>
      </c>
      <c r="F27" s="120">
        <f t="shared" si="9"/>
        <v>484.704</v>
      </c>
      <c r="G27" s="120">
        <f t="shared" si="10"/>
        <v>2139.296</v>
      </c>
      <c r="H27" s="126" t="s">
        <v>142</v>
      </c>
    </row>
    <row r="28" ht="14.25" customHeight="1">
      <c r="A28" s="119" t="s">
        <v>59</v>
      </c>
      <c r="B28" s="120">
        <v>3213.0</v>
      </c>
      <c r="C28" s="120">
        <f t="shared" si="7"/>
        <v>161.568</v>
      </c>
      <c r="D28" s="120">
        <f t="shared" si="8"/>
        <v>3051.432</v>
      </c>
      <c r="E28" s="126" t="s">
        <v>142</v>
      </c>
      <c r="F28" s="120">
        <f t="shared" si="9"/>
        <v>484.704</v>
      </c>
      <c r="G28" s="120">
        <f t="shared" si="10"/>
        <v>2728.296</v>
      </c>
      <c r="H28" s="126" t="s">
        <v>142</v>
      </c>
    </row>
    <row r="29" ht="14.25" customHeight="1"/>
    <row r="30" ht="14.25" customHeight="1">
      <c r="A30" s="127" t="s">
        <v>143</v>
      </c>
    </row>
    <row r="31" ht="29.25" customHeight="1">
      <c r="A31" s="115" t="s">
        <v>13</v>
      </c>
      <c r="B31" s="115" t="s">
        <v>128</v>
      </c>
      <c r="C31" s="115" t="s">
        <v>129</v>
      </c>
      <c r="D31" s="115" t="s">
        <v>130</v>
      </c>
      <c r="E31" s="115" t="s">
        <v>131</v>
      </c>
      <c r="F31" s="115" t="s">
        <v>132</v>
      </c>
      <c r="G31" s="115" t="s">
        <v>133</v>
      </c>
      <c r="H31" s="115" t="s">
        <v>134</v>
      </c>
    </row>
    <row r="32" ht="14.25" customHeight="1">
      <c r="A32" s="119" t="s">
        <v>38</v>
      </c>
      <c r="B32" s="120">
        <v>226.0</v>
      </c>
      <c r="C32" s="120">
        <f t="shared" ref="C32:C37" si="11"> $K$15*3600</f>
        <v>161.568</v>
      </c>
      <c r="D32" s="120">
        <f t="shared" ref="D32:D37" si="12">B32-C32</f>
        <v>64.432</v>
      </c>
      <c r="E32" s="122" t="s">
        <v>51</v>
      </c>
      <c r="F32" s="120">
        <f t="shared" ref="F32:F37" si="13"> $K$16*3600</f>
        <v>484.704</v>
      </c>
      <c r="G32" s="120">
        <v>0.0</v>
      </c>
      <c r="H32" s="122" t="s">
        <v>51</v>
      </c>
    </row>
    <row r="33" ht="14.25" customHeight="1">
      <c r="A33" s="119" t="s">
        <v>52</v>
      </c>
      <c r="B33" s="120">
        <v>737.4</v>
      </c>
      <c r="C33" s="120">
        <f t="shared" si="11"/>
        <v>161.568</v>
      </c>
      <c r="D33" s="120">
        <f t="shared" si="12"/>
        <v>575.832</v>
      </c>
      <c r="E33" s="122" t="s">
        <v>51</v>
      </c>
      <c r="F33" s="120">
        <f t="shared" si="13"/>
        <v>484.704</v>
      </c>
      <c r="G33" s="120">
        <f t="shared" ref="G33:G37" si="14">B33-F33</f>
        <v>252.696</v>
      </c>
      <c r="H33" s="122" t="s">
        <v>51</v>
      </c>
    </row>
    <row r="34" ht="14.25" customHeight="1">
      <c r="A34" s="119" t="s">
        <v>53</v>
      </c>
      <c r="B34" s="120">
        <v>1230.0</v>
      </c>
      <c r="C34" s="120">
        <f t="shared" si="11"/>
        <v>161.568</v>
      </c>
      <c r="D34" s="120">
        <f t="shared" si="12"/>
        <v>1068.432</v>
      </c>
      <c r="E34" s="122" t="s">
        <v>51</v>
      </c>
      <c r="F34" s="120">
        <f t="shared" si="13"/>
        <v>484.704</v>
      </c>
      <c r="G34" s="120">
        <f t="shared" si="14"/>
        <v>745.296</v>
      </c>
      <c r="H34" s="122" t="s">
        <v>51</v>
      </c>
    </row>
    <row r="35" ht="14.25" customHeight="1">
      <c r="A35" s="119" t="s">
        <v>57</v>
      </c>
      <c r="B35" s="120">
        <v>1785.6</v>
      </c>
      <c r="C35" s="120">
        <f t="shared" si="11"/>
        <v>161.568</v>
      </c>
      <c r="D35" s="120">
        <f t="shared" si="12"/>
        <v>1624.032</v>
      </c>
      <c r="E35" s="126" t="s">
        <v>142</v>
      </c>
      <c r="F35" s="120">
        <f t="shared" si="13"/>
        <v>484.704</v>
      </c>
      <c r="G35" s="120">
        <f t="shared" si="14"/>
        <v>1300.896</v>
      </c>
      <c r="H35" s="122" t="s">
        <v>51</v>
      </c>
    </row>
    <row r="36" ht="14.25" customHeight="1">
      <c r="A36" s="119" t="s">
        <v>58</v>
      </c>
      <c r="B36" s="120">
        <v>2591.7</v>
      </c>
      <c r="C36" s="120">
        <f t="shared" si="11"/>
        <v>161.568</v>
      </c>
      <c r="D36" s="120">
        <f t="shared" si="12"/>
        <v>2430.132</v>
      </c>
      <c r="E36" s="126" t="s">
        <v>142</v>
      </c>
      <c r="F36" s="120">
        <f t="shared" si="13"/>
        <v>484.704</v>
      </c>
      <c r="G36" s="120">
        <f t="shared" si="14"/>
        <v>2106.996</v>
      </c>
      <c r="H36" s="126" t="s">
        <v>142</v>
      </c>
    </row>
    <row r="37" ht="14.25" customHeight="1">
      <c r="A37" s="119" t="s">
        <v>59</v>
      </c>
      <c r="B37" s="120">
        <v>3191.5</v>
      </c>
      <c r="C37" s="120">
        <f t="shared" si="11"/>
        <v>161.568</v>
      </c>
      <c r="D37" s="120">
        <f t="shared" si="12"/>
        <v>3029.932</v>
      </c>
      <c r="E37" s="126" t="s">
        <v>142</v>
      </c>
      <c r="F37" s="120">
        <f t="shared" si="13"/>
        <v>484.704</v>
      </c>
      <c r="G37" s="120">
        <f t="shared" si="14"/>
        <v>2706.796</v>
      </c>
      <c r="H37" s="126" t="s">
        <v>142</v>
      </c>
    </row>
    <row r="38" ht="14.25" customHeight="1"/>
    <row r="39" ht="14.25" customHeight="1">
      <c r="A39" s="128" t="s">
        <v>144</v>
      </c>
    </row>
    <row r="40" ht="28.5" customHeight="1">
      <c r="A40" s="115" t="s">
        <v>13</v>
      </c>
      <c r="B40" s="115" t="s">
        <v>128</v>
      </c>
      <c r="C40" s="115" t="s">
        <v>129</v>
      </c>
      <c r="D40" s="115" t="s">
        <v>130</v>
      </c>
      <c r="E40" s="115" t="s">
        <v>131</v>
      </c>
      <c r="F40" s="115" t="s">
        <v>132</v>
      </c>
      <c r="G40" s="115" t="s">
        <v>133</v>
      </c>
      <c r="H40" s="115" t="s">
        <v>134</v>
      </c>
    </row>
    <row r="41" ht="14.25" customHeight="1">
      <c r="A41" s="119" t="s">
        <v>38</v>
      </c>
      <c r="B41" s="120">
        <v>181.0</v>
      </c>
      <c r="C41" s="120">
        <f t="shared" ref="C41:C46" si="15"> $K$15*3600</f>
        <v>161.568</v>
      </c>
      <c r="D41" s="120">
        <f t="shared" ref="D41:D46" si="16">B41-C41</f>
        <v>19.432</v>
      </c>
      <c r="E41" s="122" t="s">
        <v>51</v>
      </c>
      <c r="F41" s="120">
        <f t="shared" ref="F41:F46" si="17"> $K$16*3600</f>
        <v>484.704</v>
      </c>
      <c r="G41" s="120">
        <v>0.0</v>
      </c>
      <c r="H41" s="122" t="s">
        <v>51</v>
      </c>
    </row>
    <row r="42" ht="14.25" customHeight="1">
      <c r="A42" s="119" t="s">
        <v>52</v>
      </c>
      <c r="B42" s="120">
        <v>278.8</v>
      </c>
      <c r="C42" s="120">
        <f t="shared" si="15"/>
        <v>161.568</v>
      </c>
      <c r="D42" s="120">
        <f t="shared" si="16"/>
        <v>117.232</v>
      </c>
      <c r="E42" s="122" t="s">
        <v>51</v>
      </c>
      <c r="F42" s="120">
        <f t="shared" si="17"/>
        <v>484.704</v>
      </c>
      <c r="G42" s="120">
        <v>0.0</v>
      </c>
      <c r="H42" s="122" t="s">
        <v>51</v>
      </c>
    </row>
    <row r="43" ht="14.25" customHeight="1">
      <c r="A43" s="119" t="s">
        <v>53</v>
      </c>
      <c r="B43" s="120">
        <v>391.9</v>
      </c>
      <c r="C43" s="120">
        <f t="shared" si="15"/>
        <v>161.568</v>
      </c>
      <c r="D43" s="120">
        <f t="shared" si="16"/>
        <v>230.332</v>
      </c>
      <c r="E43" s="122" t="s">
        <v>51</v>
      </c>
      <c r="F43" s="120">
        <f t="shared" si="17"/>
        <v>484.704</v>
      </c>
      <c r="G43" s="120">
        <v>0.0</v>
      </c>
      <c r="H43" s="122" t="s">
        <v>51</v>
      </c>
    </row>
    <row r="44" ht="14.25" customHeight="1">
      <c r="A44" s="119" t="s">
        <v>57</v>
      </c>
      <c r="B44" s="120">
        <v>557.8</v>
      </c>
      <c r="C44" s="120">
        <f t="shared" si="15"/>
        <v>161.568</v>
      </c>
      <c r="D44" s="120">
        <f t="shared" si="16"/>
        <v>396.232</v>
      </c>
      <c r="E44" s="122" t="s">
        <v>51</v>
      </c>
      <c r="F44" s="120">
        <f t="shared" si="17"/>
        <v>484.704</v>
      </c>
      <c r="G44" s="120">
        <f t="shared" ref="G44:G46" si="18">B44-F44</f>
        <v>73.096</v>
      </c>
      <c r="H44" s="122" t="s">
        <v>51</v>
      </c>
    </row>
    <row r="45" ht="14.25" customHeight="1">
      <c r="A45" s="119" t="s">
        <v>58</v>
      </c>
      <c r="B45" s="120">
        <v>848.5</v>
      </c>
      <c r="C45" s="120">
        <f t="shared" si="15"/>
        <v>161.568</v>
      </c>
      <c r="D45" s="120">
        <f t="shared" si="16"/>
        <v>686.932</v>
      </c>
      <c r="E45" s="122" t="s">
        <v>51</v>
      </c>
      <c r="F45" s="120">
        <f t="shared" si="17"/>
        <v>484.704</v>
      </c>
      <c r="G45" s="120">
        <f t="shared" si="18"/>
        <v>363.796</v>
      </c>
      <c r="H45" s="122" t="s">
        <v>51</v>
      </c>
    </row>
    <row r="46" ht="14.25" customHeight="1">
      <c r="A46" s="119" t="s">
        <v>59</v>
      </c>
      <c r="B46" s="120">
        <v>1124.4</v>
      </c>
      <c r="C46" s="120">
        <f t="shared" si="15"/>
        <v>161.568</v>
      </c>
      <c r="D46" s="120">
        <f t="shared" si="16"/>
        <v>962.832</v>
      </c>
      <c r="E46" s="122" t="s">
        <v>51</v>
      </c>
      <c r="F46" s="120">
        <f t="shared" si="17"/>
        <v>484.704</v>
      </c>
      <c r="G46" s="120">
        <f t="shared" si="18"/>
        <v>639.696</v>
      </c>
      <c r="H46" s="122" t="s">
        <v>51</v>
      </c>
    </row>
    <row r="47" ht="14.25" customHeight="1"/>
    <row r="48" ht="14.25" customHeight="1">
      <c r="A48" s="129" t="s">
        <v>145</v>
      </c>
    </row>
    <row r="49" ht="30.75" customHeight="1">
      <c r="A49" s="115" t="s">
        <v>13</v>
      </c>
      <c r="B49" s="115" t="s">
        <v>128</v>
      </c>
      <c r="C49" s="115" t="s">
        <v>129</v>
      </c>
      <c r="D49" s="115" t="s">
        <v>130</v>
      </c>
      <c r="E49" s="115" t="s">
        <v>131</v>
      </c>
      <c r="F49" s="115" t="s">
        <v>132</v>
      </c>
      <c r="G49" s="115" t="s">
        <v>133</v>
      </c>
      <c r="H49" s="115" t="s">
        <v>134</v>
      </c>
    </row>
    <row r="50" ht="14.25" customHeight="1">
      <c r="A50" s="119" t="s">
        <v>38</v>
      </c>
      <c r="B50" s="120">
        <v>418.4</v>
      </c>
      <c r="C50" s="120">
        <f t="shared" ref="C50:C55" si="19"> $K$15*3600</f>
        <v>161.568</v>
      </c>
      <c r="D50" s="120">
        <f t="shared" ref="D50:D55" si="20">B50-C50</f>
        <v>256.832</v>
      </c>
      <c r="E50" s="122" t="s">
        <v>51</v>
      </c>
      <c r="F50" s="120">
        <f t="shared" ref="F50:F55" si="21"> $K$16*3600</f>
        <v>484.704</v>
      </c>
      <c r="G50" s="120">
        <v>0.0</v>
      </c>
      <c r="H50" s="122" t="s">
        <v>51</v>
      </c>
    </row>
    <row r="51" ht="14.25" customHeight="1">
      <c r="A51" s="119" t="s">
        <v>52</v>
      </c>
      <c r="B51" s="120">
        <v>978.7</v>
      </c>
      <c r="C51" s="120">
        <f t="shared" si="19"/>
        <v>161.568</v>
      </c>
      <c r="D51" s="120">
        <f t="shared" si="20"/>
        <v>817.132</v>
      </c>
      <c r="E51" s="122" t="s">
        <v>51</v>
      </c>
      <c r="F51" s="120">
        <f t="shared" si="21"/>
        <v>484.704</v>
      </c>
      <c r="G51" s="120">
        <f t="shared" ref="G51:G55" si="22">B51-F51</f>
        <v>493.996</v>
      </c>
      <c r="H51" s="122" t="s">
        <v>51</v>
      </c>
    </row>
    <row r="52" ht="14.25" customHeight="1">
      <c r="A52" s="119" t="s">
        <v>53</v>
      </c>
      <c r="B52" s="120">
        <v>1460.1</v>
      </c>
      <c r="C52" s="120">
        <f t="shared" si="19"/>
        <v>161.568</v>
      </c>
      <c r="D52" s="120">
        <f t="shared" si="20"/>
        <v>1298.532</v>
      </c>
      <c r="E52" s="122" t="s">
        <v>51</v>
      </c>
      <c r="F52" s="120">
        <f t="shared" si="21"/>
        <v>484.704</v>
      </c>
      <c r="G52" s="120">
        <f t="shared" si="22"/>
        <v>975.396</v>
      </c>
      <c r="H52" s="122" t="s">
        <v>51</v>
      </c>
    </row>
    <row r="53" ht="14.25" customHeight="1">
      <c r="A53" s="119" t="s">
        <v>57</v>
      </c>
      <c r="B53" s="120">
        <v>1987.9</v>
      </c>
      <c r="C53" s="120">
        <f t="shared" si="19"/>
        <v>161.568</v>
      </c>
      <c r="D53" s="120">
        <f t="shared" si="20"/>
        <v>1826.332</v>
      </c>
      <c r="E53" s="126" t="s">
        <v>142</v>
      </c>
      <c r="F53" s="120">
        <f t="shared" si="21"/>
        <v>484.704</v>
      </c>
      <c r="G53" s="120">
        <f t="shared" si="22"/>
        <v>1503.196</v>
      </c>
      <c r="H53" s="126" t="s">
        <v>142</v>
      </c>
    </row>
    <row r="54" ht="14.25" customHeight="1">
      <c r="A54" s="119" t="s">
        <v>58</v>
      </c>
      <c r="B54" s="120">
        <v>2752.0</v>
      </c>
      <c r="C54" s="120">
        <f t="shared" si="19"/>
        <v>161.568</v>
      </c>
      <c r="D54" s="120">
        <f t="shared" si="20"/>
        <v>2590.432</v>
      </c>
      <c r="E54" s="126" t="s">
        <v>142</v>
      </c>
      <c r="F54" s="120">
        <f t="shared" si="21"/>
        <v>484.704</v>
      </c>
      <c r="G54" s="120">
        <f t="shared" si="22"/>
        <v>2267.296</v>
      </c>
      <c r="H54" s="126" t="s">
        <v>142</v>
      </c>
    </row>
    <row r="55" ht="14.25" customHeight="1">
      <c r="A55" s="119" t="s">
        <v>59</v>
      </c>
      <c r="B55" s="120">
        <v>3379.7</v>
      </c>
      <c r="C55" s="120">
        <f t="shared" si="19"/>
        <v>161.568</v>
      </c>
      <c r="D55" s="120">
        <f t="shared" si="20"/>
        <v>3218.132</v>
      </c>
      <c r="E55" s="126" t="s">
        <v>142</v>
      </c>
      <c r="F55" s="120">
        <f t="shared" si="21"/>
        <v>484.704</v>
      </c>
      <c r="G55" s="120">
        <f t="shared" si="22"/>
        <v>2894.996</v>
      </c>
      <c r="H55" s="126" t="s">
        <v>142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0"/>
    <col customWidth="1" min="3" max="3" width="28.71"/>
    <col customWidth="1" min="4" max="4" width="30.86"/>
    <col customWidth="1" min="8" max="8" width="31.57"/>
    <col customWidth="1" min="9" max="9" width="27.14"/>
    <col customWidth="1" min="10" max="10" width="21.29"/>
  </cols>
  <sheetData>
    <row r="1">
      <c r="A1" s="130"/>
    </row>
    <row r="2">
      <c r="A2" s="131"/>
    </row>
    <row r="3">
      <c r="A3" s="130" t="s">
        <v>146</v>
      </c>
      <c r="G3" s="130" t="s">
        <v>147</v>
      </c>
    </row>
    <row r="4">
      <c r="A4" s="130" t="s">
        <v>13</v>
      </c>
      <c r="B4" s="130" t="s">
        <v>148</v>
      </c>
      <c r="C4" s="130" t="s">
        <v>149</v>
      </c>
      <c r="D4" s="130" t="s">
        <v>150</v>
      </c>
      <c r="E4" s="130" t="s">
        <v>151</v>
      </c>
      <c r="F4" s="123"/>
      <c r="G4" s="130" t="s">
        <v>13</v>
      </c>
      <c r="H4" s="130" t="s">
        <v>152</v>
      </c>
      <c r="I4" s="130" t="s">
        <v>153</v>
      </c>
      <c r="J4" s="130" t="s">
        <v>154</v>
      </c>
    </row>
    <row r="5">
      <c r="A5" s="131" t="s">
        <v>38</v>
      </c>
      <c r="B5" s="132">
        <f>'Comparatif Synthétique'!B6</f>
        <v>181</v>
      </c>
      <c r="C5" s="132">
        <f>'Comparatif Synthétique'!C6</f>
        <v>180.9</v>
      </c>
      <c r="D5" s="132">
        <f>'Comparatif Synthétique'!B15</f>
        <v>418.4</v>
      </c>
      <c r="E5" s="132">
        <f>'Comparatif Synthétique'!C15</f>
        <v>409.5</v>
      </c>
      <c r="G5" s="131" t="s">
        <v>38</v>
      </c>
      <c r="H5" s="132">
        <f>'Comparatif Synthétique'!D6</f>
        <v>38.7</v>
      </c>
      <c r="I5" s="132">
        <f>'Comparatif Synthétique'!D15</f>
        <v>226</v>
      </c>
      <c r="J5" s="131">
        <v>1500.0</v>
      </c>
    </row>
    <row r="6">
      <c r="A6" s="131" t="s">
        <v>52</v>
      </c>
      <c r="B6" s="132">
        <f>'Comparatif Synthétique'!B7</f>
        <v>278.8</v>
      </c>
      <c r="C6" s="132">
        <f>'Comparatif Synthétique'!C7</f>
        <v>278.4</v>
      </c>
      <c r="D6" s="132">
        <f>'Comparatif Synthétique'!B16</f>
        <v>978.7</v>
      </c>
      <c r="E6" s="132">
        <f>'Comparatif Synthétique'!C16</f>
        <v>943.3</v>
      </c>
      <c r="G6" s="131" t="s">
        <v>52</v>
      </c>
      <c r="H6" s="132">
        <f>'Comparatif Synthétique'!D7</f>
        <v>95.2</v>
      </c>
      <c r="I6" s="132">
        <f>'Comparatif Synthétique'!D16</f>
        <v>737.4</v>
      </c>
      <c r="J6" s="131">
        <v>1500.0</v>
      </c>
    </row>
    <row r="7">
      <c r="A7" s="131" t="s">
        <v>53</v>
      </c>
      <c r="B7" s="132">
        <f>'Comparatif Synthétique'!B8</f>
        <v>391.9</v>
      </c>
      <c r="C7" s="132">
        <f>'Comparatif Synthétique'!C8</f>
        <v>388.9</v>
      </c>
      <c r="D7" s="132">
        <f>'Comparatif Synthétique'!B17</f>
        <v>1460.1</v>
      </c>
      <c r="E7" s="132">
        <f>'Comparatif Synthétique'!C17</f>
        <v>1399.3</v>
      </c>
      <c r="G7" s="131" t="s">
        <v>53</v>
      </c>
      <c r="H7" s="132">
        <f>'Comparatif Synthétique'!D8</f>
        <v>166.9</v>
      </c>
      <c r="I7" s="132">
        <f>'Comparatif Synthétique'!D17</f>
        <v>1230</v>
      </c>
      <c r="J7" s="131">
        <v>1500.0</v>
      </c>
    </row>
    <row r="8">
      <c r="A8" s="131" t="s">
        <v>57</v>
      </c>
      <c r="B8" s="132">
        <f>'Comparatif Synthétique'!B9</f>
        <v>557.8</v>
      </c>
      <c r="C8" s="132">
        <f>'Comparatif Synthétique'!C9</f>
        <v>546.3</v>
      </c>
      <c r="D8" s="132">
        <f>'Comparatif Synthétique'!B18</f>
        <v>1987.9</v>
      </c>
      <c r="E8" s="132">
        <f>'Comparatif Synthétique'!C18</f>
        <v>1892.7</v>
      </c>
      <c r="G8" s="131" t="s">
        <v>57</v>
      </c>
      <c r="H8" s="132">
        <f>'Comparatif Synthétique'!D9</f>
        <v>262.2</v>
      </c>
      <c r="I8" s="132">
        <f>'Comparatif Synthétique'!D18</f>
        <v>1785.6</v>
      </c>
      <c r="J8" s="131">
        <v>1500.0</v>
      </c>
    </row>
    <row r="9">
      <c r="A9" s="131" t="s">
        <v>58</v>
      </c>
      <c r="B9" s="132">
        <f>'Comparatif Synthétique'!B10</f>
        <v>848.5</v>
      </c>
      <c r="C9" s="132">
        <f>'Comparatif Synthétique'!C10</f>
        <v>825.2</v>
      </c>
      <c r="D9" s="132">
        <f>'Comparatif Synthétique'!B19</f>
        <v>2752</v>
      </c>
      <c r="E9" s="132">
        <f>'Comparatif Synthétique'!C19</f>
        <v>2624</v>
      </c>
      <c r="G9" s="131" t="s">
        <v>58</v>
      </c>
      <c r="H9" s="132">
        <f>'Comparatif Synthétique'!D10</f>
        <v>438.6</v>
      </c>
      <c r="I9" s="132">
        <f>'Comparatif Synthétique'!D19</f>
        <v>2591.7</v>
      </c>
      <c r="J9" s="131">
        <v>1500.0</v>
      </c>
    </row>
    <row r="10">
      <c r="A10" s="131" t="s">
        <v>59</v>
      </c>
      <c r="B10" s="132">
        <f>'Comparatif Synthétique'!B11</f>
        <v>1124.4</v>
      </c>
      <c r="C10" s="132">
        <f>'Comparatif Synthétique'!C11</f>
        <v>1078.8</v>
      </c>
      <c r="D10" s="132">
        <f>'Comparatif Synthétique'!B20</f>
        <v>3379.7</v>
      </c>
      <c r="E10" s="132">
        <f>'Comparatif Synthétique'!C20</f>
        <v>3213</v>
      </c>
      <c r="G10" s="131" t="s">
        <v>59</v>
      </c>
      <c r="H10" s="132">
        <f>'Comparatif Synthétique'!D11</f>
        <v>614.3</v>
      </c>
      <c r="I10" s="132">
        <f>'Comparatif Synthétique'!D20</f>
        <v>3191.5</v>
      </c>
      <c r="J10" s="131">
        <v>1500.0</v>
      </c>
    </row>
    <row r="12">
      <c r="A12" s="133" t="s">
        <v>155</v>
      </c>
      <c r="B12" s="134"/>
      <c r="C12" s="134"/>
      <c r="D12" s="134"/>
      <c r="E12" s="134"/>
      <c r="F12" s="134"/>
    </row>
    <row r="13">
      <c r="A13" s="135" t="s">
        <v>13</v>
      </c>
      <c r="B13" s="135" t="s">
        <v>156</v>
      </c>
      <c r="C13" s="135" t="s">
        <v>157</v>
      </c>
      <c r="D13" s="135" t="s">
        <v>158</v>
      </c>
      <c r="E13" s="135" t="s">
        <v>159</v>
      </c>
      <c r="F13" s="135" t="s">
        <v>154</v>
      </c>
      <c r="G13" s="130" t="s">
        <v>160</v>
      </c>
    </row>
    <row r="14">
      <c r="A14" s="136" t="str">
        <f>'Analyse Fuite '!A14</f>
        <v>T2</v>
      </c>
      <c r="B14" s="137">
        <f>'Analyse Fuite '!D14</f>
        <v>0</v>
      </c>
      <c r="C14" s="137">
        <f>'Analyse Fuite '!G14</f>
        <v>0</v>
      </c>
      <c r="D14" s="137">
        <f>'Analyse Fuite '!D32</f>
        <v>64.432</v>
      </c>
      <c r="E14" s="138">
        <f>'Analyse Fuite '!G32</f>
        <v>0</v>
      </c>
      <c r="F14" s="139">
        <v>1500.0</v>
      </c>
      <c r="G14" s="130" t="s">
        <v>161</v>
      </c>
      <c r="H14" s="130" t="s">
        <v>25</v>
      </c>
      <c r="I14" s="130" t="s">
        <v>162</v>
      </c>
      <c r="J14" s="130" t="s">
        <v>163</v>
      </c>
      <c r="K14" s="130" t="s">
        <v>164</v>
      </c>
    </row>
    <row r="15">
      <c r="A15" s="136" t="str">
        <f>'Analyse Fuite '!A15</f>
        <v>T5</v>
      </c>
      <c r="B15" s="137">
        <f>'Analyse Fuite '!D15</f>
        <v>0</v>
      </c>
      <c r="C15" s="137">
        <f>'Analyse Fuite '!G15</f>
        <v>0</v>
      </c>
      <c r="D15" s="137">
        <f>'Analyse Fuite '!D33</f>
        <v>575.832</v>
      </c>
      <c r="E15" s="137">
        <f>'Analyse Fuite '!G33</f>
        <v>252.696</v>
      </c>
      <c r="F15" s="139">
        <v>1500.0</v>
      </c>
      <c r="G15" s="124" t="str">
        <f>'Analyse Pratique viticole'!A7</f>
        <v>Vignes en sol nu / Travail du sol ('0')</v>
      </c>
      <c r="H15" s="140">
        <f>'Analyse Pratique viticole'!F7</f>
        <v>4.80838</v>
      </c>
      <c r="I15" s="141">
        <f>'Analyse Pratique viticole'!I7</f>
        <v>227.24</v>
      </c>
      <c r="J15" s="141">
        <f>'Analyse Pratique viticole'!L7</f>
        <v>368.55</v>
      </c>
      <c r="K15" s="142">
        <f t="shared" ref="K15:K18" si="1">(J15-I15)/I15</f>
        <v>0.6218535469</v>
      </c>
    </row>
    <row r="16">
      <c r="A16" s="136" t="str">
        <f>'Analyse Fuite '!A16</f>
        <v>T10</v>
      </c>
      <c r="B16" s="137">
        <f>'Analyse Fuite '!D16</f>
        <v>5.332</v>
      </c>
      <c r="C16" s="137">
        <f>'Analyse Fuite '!G16</f>
        <v>0</v>
      </c>
      <c r="D16" s="137">
        <f>'Analyse Fuite '!D34</f>
        <v>1068.432</v>
      </c>
      <c r="E16" s="137">
        <f>'Analyse Fuite '!G34</f>
        <v>745.296</v>
      </c>
      <c r="F16" s="139">
        <v>1500.0</v>
      </c>
      <c r="G16" s="124" t="str">
        <f>'Analyse Pratique viticole'!A8</f>
        <v>Vignes enherbées 1 rang sur 2 ('1/2')</v>
      </c>
      <c r="H16" s="140">
        <f>'Analyse Pratique viticole'!F8</f>
        <v>13.76168</v>
      </c>
      <c r="I16" s="141">
        <f>'Analyse Pratique viticole'!I8</f>
        <v>623.88</v>
      </c>
      <c r="J16" s="141">
        <f>'Analyse Pratique viticole'!L8</f>
        <v>623.88</v>
      </c>
      <c r="K16" s="142">
        <f t="shared" si="1"/>
        <v>0</v>
      </c>
    </row>
    <row r="17">
      <c r="A17" s="136" t="str">
        <f>'Analyse Fuite '!A17</f>
        <v>T20</v>
      </c>
      <c r="B17" s="137">
        <f>'Analyse Fuite '!D17</f>
        <v>100.632</v>
      </c>
      <c r="C17" s="137">
        <f>'Analyse Fuite '!G17</f>
        <v>0</v>
      </c>
      <c r="D17" s="137">
        <f>'Analyse Fuite '!D35</f>
        <v>1624.032</v>
      </c>
      <c r="E17" s="137">
        <f>'Analyse Fuite '!G35</f>
        <v>1300.896</v>
      </c>
      <c r="F17" s="139">
        <v>1500.0</v>
      </c>
      <c r="G17" s="124" t="str">
        <f>'Analyse Pratique viticole'!A9</f>
        <v>Vignes enherbées intégrales ('1/1')</v>
      </c>
      <c r="H17" s="140">
        <f>'Analyse Pratique viticole'!F9</f>
        <v>8.13864</v>
      </c>
      <c r="I17" s="141">
        <f>'Analyse Pratique viticole'!I9</f>
        <v>297.24</v>
      </c>
      <c r="J17" s="141">
        <f>'Analyse Pratique viticole'!L9</f>
        <v>75.42</v>
      </c>
      <c r="K17" s="142">
        <f t="shared" si="1"/>
        <v>-0.7462656439</v>
      </c>
    </row>
    <row r="18">
      <c r="A18" s="136" t="str">
        <f>'Analyse Fuite '!A18</f>
        <v>T50</v>
      </c>
      <c r="B18" s="137">
        <f>'Analyse Fuite '!D18</f>
        <v>277.032</v>
      </c>
      <c r="C18" s="137">
        <f>'Analyse Fuite '!G18</f>
        <v>0</v>
      </c>
      <c r="D18" s="137">
        <f>'Analyse Fuite '!D36</f>
        <v>2430.132</v>
      </c>
      <c r="E18" s="137">
        <f>'Analyse Fuite '!G36</f>
        <v>2106.996</v>
      </c>
      <c r="F18" s="139">
        <v>1500.0</v>
      </c>
      <c r="G18" s="124" t="str">
        <f>'Analyse Pratique viticole'!A10</f>
        <v>TOTAL VIGNOBLE</v>
      </c>
      <c r="H18" s="140">
        <f>'Analyse Pratique viticole'!F10</f>
        <v>26.7087</v>
      </c>
      <c r="I18" s="141">
        <f>'Analyse Pratique viticole'!I10</f>
        <v>1148.36</v>
      </c>
      <c r="J18" s="141">
        <f>'Analyse Pratique viticole'!L10</f>
        <v>1067.85</v>
      </c>
      <c r="K18" s="142">
        <f t="shared" si="1"/>
        <v>-0.07010867672</v>
      </c>
    </row>
    <row r="19">
      <c r="A19" s="136" t="str">
        <f>'Analyse Fuite '!A19</f>
        <v>T100</v>
      </c>
      <c r="B19" s="137">
        <f>'Analyse Fuite '!D19</f>
        <v>452.732</v>
      </c>
      <c r="C19" s="137">
        <f>'Analyse Fuite '!G19</f>
        <v>129.596</v>
      </c>
      <c r="D19" s="137">
        <f>'Analyse Fuite '!D37</f>
        <v>3029.932</v>
      </c>
      <c r="E19" s="137">
        <f>'Analyse Fuite '!G37</f>
        <v>2706.796</v>
      </c>
      <c r="F19" s="139">
        <v>1500.0</v>
      </c>
    </row>
    <row r="21">
      <c r="A21" s="130" t="s">
        <v>165</v>
      </c>
      <c r="G21" s="143" t="s">
        <v>166</v>
      </c>
      <c r="H21" s="78"/>
      <c r="I21" s="78"/>
      <c r="J21" s="78"/>
    </row>
    <row r="22">
      <c r="A22" s="135" t="s">
        <v>13</v>
      </c>
      <c r="B22" s="135" t="s">
        <v>156</v>
      </c>
      <c r="C22" s="135" t="s">
        <v>157</v>
      </c>
      <c r="D22" s="135" t="s">
        <v>158</v>
      </c>
      <c r="E22" s="135" t="s">
        <v>159</v>
      </c>
      <c r="F22" s="135" t="s">
        <v>154</v>
      </c>
      <c r="G22" s="143" t="s">
        <v>13</v>
      </c>
      <c r="H22" s="143" t="s">
        <v>152</v>
      </c>
      <c r="I22" s="143" t="s">
        <v>153</v>
      </c>
      <c r="J22" s="143" t="s">
        <v>154</v>
      </c>
    </row>
    <row r="23">
      <c r="A23" s="136" t="str">
        <f>'Analyse Fuite '!A23</f>
        <v>T2</v>
      </c>
      <c r="B23" s="137">
        <f>'Analyse Fuite '!D5</f>
        <v>18.9</v>
      </c>
      <c r="C23" s="137">
        <f>'Analyse Fuite '!G5</f>
        <v>0</v>
      </c>
      <c r="D23" s="137">
        <f>'Analyse Fuite '!D23</f>
        <v>247.932</v>
      </c>
      <c r="E23" s="137">
        <f>'Analyse Fuite '!G23</f>
        <v>0</v>
      </c>
      <c r="F23" s="139">
        <v>1500.0</v>
      </c>
      <c r="G23" s="78" t="s">
        <v>38</v>
      </c>
      <c r="H23" s="144">
        <v>181.0</v>
      </c>
      <c r="I23" s="144">
        <v>418.4</v>
      </c>
      <c r="J23" s="145">
        <v>1500.0</v>
      </c>
    </row>
    <row r="24">
      <c r="A24" s="136" t="str">
        <f>'Analyse Fuite '!A24</f>
        <v>T5</v>
      </c>
      <c r="B24" s="137">
        <f>'Analyse Fuite '!D6</f>
        <v>116.4</v>
      </c>
      <c r="C24" s="137">
        <f>'Analyse Fuite '!G6</f>
        <v>0</v>
      </c>
      <c r="D24" s="137">
        <f>'Analyse Fuite '!D24</f>
        <v>781.732</v>
      </c>
      <c r="E24" s="137">
        <f>'Analyse Fuite '!G24</f>
        <v>458.596</v>
      </c>
      <c r="F24" s="139">
        <v>1500.0</v>
      </c>
      <c r="G24" s="78" t="s">
        <v>52</v>
      </c>
      <c r="H24" s="144">
        <v>278.8</v>
      </c>
      <c r="I24" s="144">
        <v>978.7</v>
      </c>
      <c r="J24" s="145">
        <v>1500.0</v>
      </c>
    </row>
    <row r="25">
      <c r="A25" s="136" t="str">
        <f>'Analyse Fuite '!A25</f>
        <v>T10</v>
      </c>
      <c r="B25" s="137">
        <f>'Analyse Fuite '!D7</f>
        <v>226.9</v>
      </c>
      <c r="C25" s="137">
        <f>'Analyse Fuite '!G7</f>
        <v>0</v>
      </c>
      <c r="D25" s="137">
        <f>'Analyse Fuite '!D25</f>
        <v>1237.732</v>
      </c>
      <c r="E25" s="137">
        <f>'Analyse Fuite '!G25</f>
        <v>914.596</v>
      </c>
      <c r="F25" s="139">
        <v>1500.0</v>
      </c>
      <c r="G25" s="78" t="s">
        <v>53</v>
      </c>
      <c r="H25" s="144">
        <v>391.9</v>
      </c>
      <c r="I25" s="144">
        <v>1460.1</v>
      </c>
      <c r="J25" s="145">
        <v>1500.0</v>
      </c>
    </row>
    <row r="26">
      <c r="A26" s="136" t="str">
        <f>'Analyse Fuite '!A26</f>
        <v>T20</v>
      </c>
      <c r="B26" s="137">
        <f>'Analyse Fuite '!D8</f>
        <v>384.3</v>
      </c>
      <c r="C26" s="137">
        <f>'Analyse Fuite '!G8</f>
        <v>61.3</v>
      </c>
      <c r="D26" s="137">
        <f>'Analyse Fuite '!D26</f>
        <v>1731.132</v>
      </c>
      <c r="E26" s="137">
        <f>'Analyse Fuite '!G26</f>
        <v>1407.996</v>
      </c>
      <c r="F26" s="139">
        <v>1500.0</v>
      </c>
      <c r="G26" s="78" t="s">
        <v>57</v>
      </c>
      <c r="H26" s="144">
        <v>557.8</v>
      </c>
      <c r="I26" s="144">
        <v>1987.9</v>
      </c>
      <c r="J26" s="145">
        <v>1500.0</v>
      </c>
    </row>
    <row r="27">
      <c r="A27" s="136" t="str">
        <f>'Analyse Fuite '!A27</f>
        <v>T50</v>
      </c>
      <c r="B27" s="137">
        <f>'Analyse Fuite '!D9</f>
        <v>663.2</v>
      </c>
      <c r="C27" s="137">
        <f>'Analyse Fuite '!G9</f>
        <v>340.2</v>
      </c>
      <c r="D27" s="137">
        <f>'Analyse Fuite '!D27</f>
        <v>2462.432</v>
      </c>
      <c r="E27" s="137">
        <f>'Analyse Fuite '!G27</f>
        <v>2139.296</v>
      </c>
      <c r="F27" s="139">
        <v>1500.0</v>
      </c>
      <c r="G27" s="78" t="s">
        <v>58</v>
      </c>
      <c r="H27" s="144">
        <v>848.5</v>
      </c>
      <c r="I27" s="144">
        <v>2752.0</v>
      </c>
      <c r="J27" s="145">
        <v>1500.0</v>
      </c>
    </row>
    <row r="28">
      <c r="A28" s="136" t="str">
        <f>'Analyse Fuite '!A28</f>
        <v>T100</v>
      </c>
      <c r="B28" s="137">
        <f>'Analyse Fuite '!D10</f>
        <v>916.8</v>
      </c>
      <c r="C28" s="137">
        <f>'Analyse Fuite '!G10</f>
        <v>593.8</v>
      </c>
      <c r="D28" s="137">
        <f>'Analyse Fuite '!D28</f>
        <v>3051.432</v>
      </c>
      <c r="E28" s="137">
        <f>'Analyse Fuite '!G28</f>
        <v>2728.296</v>
      </c>
      <c r="F28" s="139">
        <v>1500.0</v>
      </c>
      <c r="G28" s="78" t="s">
        <v>59</v>
      </c>
      <c r="H28" s="144">
        <v>1124.4</v>
      </c>
      <c r="I28" s="144">
        <v>3379.7</v>
      </c>
      <c r="J28" s="145">
        <v>1500.0</v>
      </c>
    </row>
    <row r="29">
      <c r="H29" s="12"/>
      <c r="I29" s="12"/>
    </row>
    <row r="30">
      <c r="A30" s="130" t="s">
        <v>167</v>
      </c>
      <c r="G30" s="130" t="s">
        <v>168</v>
      </c>
    </row>
    <row r="31">
      <c r="A31" s="135" t="s">
        <v>13</v>
      </c>
      <c r="B31" s="135" t="s">
        <v>156</v>
      </c>
      <c r="C31" s="135" t="s">
        <v>157</v>
      </c>
      <c r="D31" s="135" t="s">
        <v>158</v>
      </c>
      <c r="E31" s="135" t="s">
        <v>159</v>
      </c>
      <c r="F31" s="135" t="s">
        <v>154</v>
      </c>
      <c r="G31" s="146" t="s">
        <v>90</v>
      </c>
      <c r="H31" s="146" t="s">
        <v>16</v>
      </c>
      <c r="I31" s="146" t="s">
        <v>55</v>
      </c>
      <c r="J31" s="146" t="s">
        <v>64</v>
      </c>
      <c r="K31" s="146" t="s">
        <v>67</v>
      </c>
      <c r="L31" s="146" t="s">
        <v>79</v>
      </c>
      <c r="M31" s="146" t="s">
        <v>85</v>
      </c>
      <c r="N31" s="146" t="s">
        <v>169</v>
      </c>
      <c r="O31" s="146" t="s">
        <v>170</v>
      </c>
    </row>
    <row r="32">
      <c r="A32" s="136" t="str">
        <f>'Analyse Fuite '!A32</f>
        <v>T2</v>
      </c>
      <c r="B32" s="137">
        <f>'Analyse Fuite '!D41</f>
        <v>19.432</v>
      </c>
      <c r="C32" s="137">
        <f>'Analyse Fuite '!G41</f>
        <v>0</v>
      </c>
      <c r="D32" s="137">
        <f>'Analyse Fuite '!D50</f>
        <v>256.832</v>
      </c>
      <c r="E32" s="137">
        <f>'Analyse Fuite '!G50</f>
        <v>0</v>
      </c>
      <c r="F32" s="139">
        <v>1500.0</v>
      </c>
      <c r="G32" s="147" t="s">
        <v>45</v>
      </c>
      <c r="H32" s="147">
        <v>97.2</v>
      </c>
      <c r="I32" s="147">
        <v>139.4</v>
      </c>
      <c r="J32" s="147">
        <v>167.4</v>
      </c>
      <c r="K32" s="147">
        <v>194.4</v>
      </c>
      <c r="L32" s="147">
        <v>229.4</v>
      </c>
      <c r="M32" s="147">
        <v>255.7</v>
      </c>
      <c r="N32" s="147" t="s">
        <v>171</v>
      </c>
      <c r="O32" s="147" t="s">
        <v>172</v>
      </c>
    </row>
    <row r="33">
      <c r="A33" s="136" t="str">
        <f>'Analyse Fuite '!A33</f>
        <v>T5</v>
      </c>
      <c r="B33" s="137">
        <f>'Analyse Fuite '!D42</f>
        <v>117.232</v>
      </c>
      <c r="C33" s="137">
        <f>'Analyse Fuite '!G42</f>
        <v>0</v>
      </c>
      <c r="D33" s="137">
        <f>'Analyse Fuite '!D51</f>
        <v>817.132</v>
      </c>
      <c r="E33" s="137">
        <f>'Analyse Fuite '!G51</f>
        <v>493.996</v>
      </c>
      <c r="F33" s="139">
        <v>1500.0</v>
      </c>
      <c r="G33" s="147" t="s">
        <v>173</v>
      </c>
      <c r="H33" s="147">
        <v>0.0</v>
      </c>
      <c r="I33" s="147">
        <v>0.0</v>
      </c>
      <c r="J33" s="147">
        <v>0.0</v>
      </c>
      <c r="K33" s="147">
        <v>0.0</v>
      </c>
      <c r="L33" s="147">
        <v>0.0</v>
      </c>
      <c r="M33" s="147">
        <v>0.1</v>
      </c>
      <c r="N33" s="147" t="s">
        <v>174</v>
      </c>
      <c r="O33" s="147" t="s">
        <v>175</v>
      </c>
    </row>
    <row r="34">
      <c r="A34" s="136" t="str">
        <f>'Analyse Fuite '!A34</f>
        <v>T10</v>
      </c>
      <c r="B34" s="137">
        <f>'Analyse Fuite '!D43</f>
        <v>230.332</v>
      </c>
      <c r="C34" s="137">
        <f>'Analyse Fuite '!G43</f>
        <v>0</v>
      </c>
      <c r="D34" s="137">
        <f>'Analyse Fuite '!D52</f>
        <v>1298.532</v>
      </c>
      <c r="E34" s="137">
        <f>'Analyse Fuite '!G52</f>
        <v>975.396</v>
      </c>
      <c r="F34" s="139">
        <v>1500.0</v>
      </c>
      <c r="G34" s="147" t="s">
        <v>48</v>
      </c>
      <c r="H34" s="147">
        <v>0.0</v>
      </c>
      <c r="I34" s="147">
        <v>0.0</v>
      </c>
      <c r="J34" s="147">
        <v>0.0</v>
      </c>
      <c r="K34" s="147">
        <v>0.0</v>
      </c>
      <c r="L34" s="147">
        <v>1.3</v>
      </c>
      <c r="M34" s="147">
        <v>8.0</v>
      </c>
      <c r="N34" s="147" t="s">
        <v>176</v>
      </c>
      <c r="O34" s="147" t="s">
        <v>177</v>
      </c>
    </row>
    <row r="35">
      <c r="A35" s="136" t="str">
        <f>'Analyse Fuite '!A35</f>
        <v>T20</v>
      </c>
      <c r="B35" s="137">
        <f>'Analyse Fuite '!D44</f>
        <v>396.232</v>
      </c>
      <c r="C35" s="137">
        <f>'Analyse Fuite '!G44</f>
        <v>73.096</v>
      </c>
      <c r="D35" s="137">
        <f>'Analyse Fuite '!D53</f>
        <v>1826.332</v>
      </c>
      <c r="E35" s="137">
        <f>'Analyse Fuite '!G53</f>
        <v>1503.196</v>
      </c>
      <c r="F35" s="139">
        <v>1500.0</v>
      </c>
      <c r="G35" s="147" t="s">
        <v>49</v>
      </c>
      <c r="H35" s="147">
        <v>237.4</v>
      </c>
      <c r="I35" s="147">
        <v>719.2</v>
      </c>
      <c r="J35" s="148">
        <v>1148.4</v>
      </c>
      <c r="K35" s="148">
        <v>1626.0</v>
      </c>
      <c r="L35" s="148">
        <v>2323.6</v>
      </c>
      <c r="M35" s="148">
        <v>2895.7</v>
      </c>
      <c r="N35" s="148">
        <v>8950.3</v>
      </c>
      <c r="O35" s="147" t="s">
        <v>178</v>
      </c>
    </row>
    <row r="36">
      <c r="A36" s="136" t="str">
        <f>'Analyse Fuite '!A36</f>
        <v>T50</v>
      </c>
      <c r="B36" s="137">
        <f>'Analyse Fuite '!D45</f>
        <v>686.932</v>
      </c>
      <c r="C36" s="137">
        <f>'Analyse Fuite '!G45</f>
        <v>363.796</v>
      </c>
      <c r="D36" s="137">
        <f>'Analyse Fuite '!D54</f>
        <v>2590.432</v>
      </c>
      <c r="E36" s="137">
        <f>'Analyse Fuite '!G54</f>
        <v>2267.296</v>
      </c>
      <c r="F36" s="139">
        <v>1500.0</v>
      </c>
      <c r="G36" s="147" t="s">
        <v>179</v>
      </c>
      <c r="H36" s="147">
        <v>83.8</v>
      </c>
      <c r="I36" s="147">
        <v>120.1</v>
      </c>
      <c r="J36" s="148">
        <v>144.3</v>
      </c>
      <c r="K36" s="148">
        <v>167.5</v>
      </c>
      <c r="L36" s="148">
        <v>197.7</v>
      </c>
      <c r="M36" s="148">
        <v>220.3</v>
      </c>
      <c r="N36" s="148">
        <v>933.7</v>
      </c>
      <c r="O36" s="147" t="s">
        <v>180</v>
      </c>
    </row>
    <row r="37">
      <c r="A37" s="136" t="str">
        <f>'Analyse Fuite '!A37</f>
        <v>T100</v>
      </c>
      <c r="B37" s="137">
        <f>'Analyse Fuite '!D46</f>
        <v>962.832</v>
      </c>
      <c r="C37" s="137">
        <f>'Analyse Fuite '!G46</f>
        <v>639.696</v>
      </c>
      <c r="D37" s="137">
        <f>'Analyse Fuite '!D55</f>
        <v>3218.132</v>
      </c>
      <c r="E37" s="137">
        <f>'Analyse Fuite '!G55</f>
        <v>2894.996</v>
      </c>
      <c r="F37" s="139">
        <v>1500.0</v>
      </c>
      <c r="G37" s="149" t="s">
        <v>181</v>
      </c>
      <c r="H37" s="149">
        <v>418.4</v>
      </c>
      <c r="I37" s="149">
        <v>978.7</v>
      </c>
      <c r="J37" s="150">
        <v>1460.1</v>
      </c>
      <c r="K37" s="150">
        <v>1987.9</v>
      </c>
      <c r="L37" s="150">
        <v>2752.0</v>
      </c>
      <c r="M37" s="150">
        <v>3379.7</v>
      </c>
      <c r="N37" s="150">
        <v>10976.8</v>
      </c>
      <c r="O37" s="149">
        <v>1.0</v>
      </c>
    </row>
  </sheetData>
  <drawing r:id="rId1"/>
</worksheet>
</file>